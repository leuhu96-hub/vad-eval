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Du lieu mo phong" sheetId="2" state="visible" r:id="rId2"/>
    <sheet name="Kiem tra du lieu" sheetId="3" state="visible" r:id="rId3"/>
    <sheet name="Tang A" sheetId="4" state="visible" r:id="rId4"/>
    <sheet name="Chon nguong" sheetId="5" state="visible" r:id="rId5"/>
    <sheet name="Tang B" sheetId="6" state="visible" r:id="rId6"/>
    <sheet name="Bao cao category" sheetId="7" state="visible" r:id="rId7"/>
    <sheet name="Ablation" sheetId="8" state="visible" r:id="rId8"/>
    <sheet name="Theo file" sheetId="9" state="visible" r:id="rId9"/>
    <sheet name="Nhan dang ngo" sheetId="10" state="visible" r:id="rId10"/>
    <sheet name="Bieu do" sheetId="11" state="visible" r:id="rId11"/>
  </sheets>
  <definedNames>
    <definedName name="_xlnm._FilterDatabase" localSheetId="8" hidden="1">'Theo file'!$A$4:$M$153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+0.0%;-0.0%;0.0%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</font>
    <font>
      <name val="Arial"/>
    </font>
    <font>
      <name val="Arial"/>
      <sz val="9"/>
    </font>
    <font>
      <name val="Arial"/>
      <sz val="10"/>
    </font>
    <font>
      <name val="Arial"/>
      <b val="1"/>
      <color rgb="00C00000"/>
    </font>
    <font>
      <name val="Arial"/>
      <i val="1"/>
      <sz val="9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top"/>
    </xf>
    <xf numFmtId="0" fontId="7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5" fillId="0" borderId="0" pivotButton="0" quotePrefix="0" xfId="0"/>
    <xf numFmtId="164" fontId="7" fillId="0" borderId="1" applyAlignment="1" pivotButton="0" quotePrefix="0" xfId="0">
      <alignment horizontal="center" vertical="top" wrapText="1"/>
    </xf>
    <xf numFmtId="166" fontId="7" fillId="0" borderId="1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center" vertical="top" wrapText="1"/>
    </xf>
    <xf numFmtId="166" fontId="7" fillId="0" borderId="1" pivotButton="0" quotePrefix="0" xfId="0"/>
    <xf numFmtId="0" fontId="8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0" fontId="9" fillId="0" borderId="0" pivotButton="0" quotePrefix="0" xfId="0"/>
    <xf numFmtId="165" fontId="7" fillId="0" borderId="1" applyAlignment="1" pivotButton="0" quotePrefix="0" xfId="0">
      <alignment horizontal="center" vertical="top" wrapText="1"/>
    </xf>
    <xf numFmtId="9" fontId="7" fillId="0" borderId="1" applyAlignment="1" pivotButton="0" quotePrefix="0" xfId="0">
      <alignment horizontal="center" vertical="top" wrapText="1"/>
    </xf>
    <xf numFmtId="164" fontId="4" fillId="3" borderId="0" pivotButton="0" quotePrefix="0" xfId="0"/>
    <xf numFmtId="165" fontId="4" fillId="3" borderId="0" pivotButton="0" quotePrefix="0" xfId="0"/>
    <xf numFmtId="164" fontId="7" fillId="0" borderId="1" pivotButton="0" quotePrefix="0" xfId="0"/>
    <xf numFmtId="167" fontId="7" fillId="0" borderId="1" pivotButton="0" quotePrefix="0" xfId="0"/>
    <xf numFmtId="0" fontId="7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658350" cy="5467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0210800" cy="3124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8362950" cy="5791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8172450" cy="77533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70" customWidth="1" min="3" max="3"/>
  </cols>
  <sheetData>
    <row r="1">
      <c r="A1" s="1" t="inlineStr">
        <is>
          <t>Kết quả đánh giá VAD trên bộ dữ liệu giả định</t>
        </is>
      </c>
    </row>
    <row r="2">
      <c r="A2" s="2" t="inlineStr">
        <is>
          <t>Dữ liệu và model đều là mô phỏng để minh họa quy trình. Số liệu không đại diện cho model thật.</t>
        </is>
      </c>
    </row>
    <row r="3"/>
    <row r="4">
      <c r="A4" s="3" t="inlineStr">
        <is>
          <t>Bộ dữ liệu</t>
        </is>
      </c>
      <c r="B4" s="4" t="n"/>
      <c r="C4" s="4" t="n"/>
    </row>
    <row r="5">
      <c r="A5" s="5" t="inlineStr">
        <is>
          <t>Số clip GT / số file model</t>
        </is>
      </c>
      <c r="B5" s="6" t="inlineStr">
        <is>
          <t>150 / 150</t>
        </is>
      </c>
      <c r="C5" s="7" t="inlineStr">
        <is>
          <t>5 category × 30 clip 10s; 1 cặp lệch tên được cài sẵn</t>
        </is>
      </c>
    </row>
    <row r="6">
      <c r="A6" s="5" t="inlineStr">
        <is>
          <t>Cặp hợp lệ sau ghép file</t>
        </is>
      </c>
      <c r="B6" s="6" t="n">
        <v>149</v>
      </c>
      <c r="C6" s="7" t="inlineStr">
        <is>
          <t>Music_31 thiếu GT, Gt_babble_30 thiếu model → loại</t>
        </is>
      </c>
    </row>
    <row r="7">
      <c r="A7" s="5" t="inlineStr">
        <is>
          <t>File dùng nguồn âm đã có trong train</t>
        </is>
      </c>
      <c r="B7" s="8" t="n">
        <v>0.5033557046979866</v>
      </c>
      <c r="C7" s="7" t="inlineStr">
        <is>
          <t>Loại khỏi tập đánh giá chính (rò rỉ)</t>
        </is>
      </c>
    </row>
    <row r="8">
      <c r="A8" s="5" t="inlineStr">
        <is>
          <t>Dev / Test (chia theo nhóm câu nói gốc)</t>
        </is>
      </c>
      <c r="B8" s="6" t="inlineStr">
        <is>
          <t>26 / 48</t>
        </is>
      </c>
      <c r="C8" s="7" t="inlineStr">
        <is>
          <t>Chỉ gồm file 'unseen'</t>
        </is>
      </c>
    </row>
    <row r="9">
      <c r="A9" s="3" t="inlineStr">
        <is>
          <t>Kết quả chính</t>
        </is>
      </c>
      <c r="B9" s="4" t="n"/>
      <c r="C9" s="4" t="n"/>
    </row>
    <row r="10">
      <c r="A10" s="5" t="inlineStr">
        <is>
          <t>AUC gộp toàn bộ (cách tính ban đầu)</t>
        </is>
      </c>
      <c r="B10" s="9" t="n">
        <v>0.9837403019744483</v>
      </c>
      <c r="C10" s="7" t="inlineStr">
        <is>
          <t>Con số 'đẹp' nếu không kiểm tra dữ liệu</t>
        </is>
      </c>
    </row>
    <row r="11">
      <c r="A11" s="5" t="inlineStr">
        <is>
          <t>AUC tầng A trên test (unseen)</t>
        </is>
      </c>
      <c r="B11" s="9" t="n">
        <v>0.9734432722364308</v>
      </c>
      <c r="C11" s="7" t="inlineStr">
        <is>
          <t>CI 95% bootstrap theo file: 0.959–0.985</t>
        </is>
      </c>
    </row>
    <row r="12">
      <c r="A12" s="5" t="inlineStr">
        <is>
          <t>Ngưỡng chọn trên dev (DCF-min, qua pipeline A4)</t>
        </is>
      </c>
      <c r="B12" s="9" t="n">
        <v>0.58</v>
      </c>
      <c r="C12" s="7" t="inlineStr">
        <is>
          <t>Youden trên điểm thô dev = 0.70</t>
        </is>
      </c>
    </row>
    <row r="13">
      <c r="A13" s="5" t="inlineStr">
        <is>
          <t>F1 strict (test, A4)</t>
        </is>
      </c>
      <c r="B13" s="9" t="n">
        <v>0.92</v>
      </c>
      <c r="C13" s="7" t="inlineStr">
        <is>
          <t>CI 95%: 0.900–0.939</t>
        </is>
      </c>
    </row>
    <row r="14">
      <c r="A14" s="5" t="inlineStr">
        <is>
          <t>F1 collar ±1 bin (test, A4)</t>
        </is>
      </c>
      <c r="B14" s="9" t="n">
        <v>0.9705014749262536</v>
      </c>
      <c r="C14" s="7" t="inlineStr">
        <is>
          <t>CI 95%: 0.953–0.984</t>
        </is>
      </c>
    </row>
    <row r="15">
      <c r="A15" s="5" t="inlineStr">
        <is>
          <t>DCF strict (test, A4)</t>
        </is>
      </c>
      <c r="B15" s="9" t="n">
        <v>0.0735294117647058</v>
      </c>
      <c r="C15" s="7" t="inlineStr">
        <is>
          <t>CI 95%: 0.054–0.094</t>
        </is>
      </c>
    </row>
    <row r="16">
      <c r="A16" s="5" t="inlineStr">
        <is>
          <t>Tỉ lệ lỗi thật (MSC+NDS) / tổng lỗi</t>
        </is>
      </c>
      <c r="B16" s="8" t="n">
        <v>0.2173913043478261</v>
      </c>
      <c r="C16" s="7" t="inlineStr">
        <is>
          <t>Phần còn lại là lỗi biên (FEC+OVER)</t>
        </is>
      </c>
    </row>
    <row r="17">
      <c r="A17" s="5" t="inlineStr">
        <is>
          <t>Event-F1 (collar 0.5s) / onset-only</t>
        </is>
      </c>
      <c r="B17" s="6" t="inlineStr">
        <is>
          <t>0.816 / 0.890</t>
        </is>
      </c>
      <c r="C17" s="7" t="n"/>
    </row>
    <row r="18"/>
    <row r="19">
      <c r="A19" s="3" t="inlineStr">
        <is>
          <t>Phát hiện chính</t>
        </is>
      </c>
      <c r="B19" s="4" t="n"/>
      <c r="C19" s="4" t="n"/>
    </row>
    <row r="20" ht="42" customHeight="1">
      <c r="A20" s="10" t="n">
        <v>1</v>
      </c>
      <c r="B20" s="11" t="inlineStr">
        <is>
          <t>Rò rỉ: AUC trên file dùng nguồn âm đã thấy khi train = 0.9900, trên file chưa thấy = 0.9733. Chênh 0.017 ≥ 0.01 → chỉ báo cáo trên file chưa thấy.</t>
        </is>
      </c>
    </row>
    <row r="21" ht="42" customHeight="1">
      <c r="A21" s="10" t="n">
        <v>2</v>
      </c>
      <c r="B21" s="11" t="inlineStr">
        <is>
          <t>Union-find theo cả câu nói và nhiễu tạo một nhóm khổng lồ 109/149 file → không chia được. Phải chia theo câu nói gốc; còn 8 nguồn nhiễu dùng chung dev/test.</t>
        </is>
      </c>
    </row>
    <row r="22" ht="42" customHeight="1">
      <c r="A22" s="10" t="n">
        <v>3</v>
      </c>
      <c r="B22" s="11" t="inlineStr">
        <is>
          <t>Offset tâm cửa sổ: đặt score tại start, F1 (ngưỡng 0.5) ở shift 0 chỉ 0.798, đỉnh dời sang +0.48s; đặt tại tâm, đỉnh ở 0 với F1 0.953.</t>
        </is>
      </c>
    </row>
    <row r="23" ht="42" customHeight="1">
      <c r="A23" s="10" t="n">
        <v>4</v>
      </c>
      <c r="B23" s="11" t="inlineStr">
        <is>
          <t>Lag từng file phát hiện đúng 3 file cài lỗi lệch 1 bin (Babble_3.txt, Clean_7.txt, Noise_12.txt), đã sửa. 8 file khác có lag 0.2–0.4s, đều SNR thấp/babble: đây là nhiễu ước lượng, không phải lỗi.</t>
        </is>
      </c>
    </row>
    <row r="24" ht="42" customHeight="1">
      <c r="A24" s="10" t="n">
        <v>5</v>
      </c>
      <c r="B24" s="11" t="inlineStr">
        <is>
          <t>Ngưỡng: Youden điểm thô (0.70) khác ngưỡng tối ưu qua pipeline (0.58). Áp Youden cho A4 trên test cho DCF 0.101 so với 0.074.</t>
        </is>
      </c>
    </row>
    <row r="25" ht="42" customHeight="1">
      <c r="A25" s="10" t="n">
        <v>6</v>
      </c>
      <c r="B25" s="11" t="inlineStr">
        <is>
          <t>Lỗi chủ yếu ở biên: F1 tăng từ 0.920 (strict) lên 0.971 khi bỏ bin biên. OVER (52 bin) là loại lỗi lớn nhất; Δonset TB -0.33s, Δoffset +0.21s.</t>
        </is>
      </c>
    </row>
    <row r="26" ht="42" customHeight="1">
      <c r="A26" s="10" t="n">
        <v>7</v>
      </c>
      <c r="B26" s="11" t="inlineStr">
        <is>
          <t>Category yếu nhất: Babble (F1 0.837, FAR 38.0%). Babble và Music gây false alarm giữa vùng non-speech (NDS).</t>
        </is>
      </c>
    </row>
    <row r="27" ht="42" customHeight="1">
      <c r="A27" s="10" t="n">
        <v>8</v>
      </c>
      <c r="B27" s="11" t="inlineStr">
        <is>
          <t>Hậu xử lý cải thiện ít: F1 strict A0 0.922 → A4 0.920. Merge &lt;500ms (A3) làm FAR tăng lên 19.4%; 11/41 khoảng lặng GT ≤1s bị lấp.</t>
        </is>
      </c>
    </row>
    <row r="28" ht="42" customHeight="1">
      <c r="A28" s="10" t="n">
        <v>9</v>
      </c>
      <c r="B28" s="11" t="inlineStr">
        <is>
          <t>Nhãn: κ bin trong = 1.00, κ bin biên = 0.72; lệch biên trung vị 90 ms. Một phần "lỗi biên" của model là độ mơ hồ của nhãn.</t>
        </is>
      </c>
    </row>
  </sheetData>
  <mergeCells count="9">
    <mergeCell ref="B21:C21"/>
    <mergeCell ref="B24:C24"/>
    <mergeCell ref="B25:C25"/>
    <mergeCell ref="B20:C20"/>
    <mergeCell ref="B28:C28"/>
    <mergeCell ref="B23:C23"/>
    <mergeCell ref="B22:C22"/>
    <mergeCell ref="B26:C26"/>
    <mergeCell ref="B27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40" customWidth="1" min="3" max="3"/>
    <col width="50" customWidth="1" min="4" max="4"/>
    <col width="22" customWidth="1" min="5" max="5"/>
  </cols>
  <sheetData>
    <row r="1">
      <c r="A1" s="1" t="inlineStr">
        <is>
          <t>Thiết kế bộ dữ liệu và model giả định</t>
        </is>
      </c>
    </row>
    <row r="2"/>
    <row r="3"/>
    <row r="4">
      <c r="A4" s="12" t="inlineStr">
        <is>
          <t>Category</t>
        </is>
      </c>
      <c r="B4" s="12" t="inlineStr">
        <is>
          <t>#clip</t>
        </is>
      </c>
      <c r="C4" s="12" t="inlineStr">
        <is>
          <t>SNR (dB)</t>
        </is>
      </c>
      <c r="D4" s="12" t="inlineStr">
        <is>
          <t>Đặc điểm mô phỏng</t>
        </is>
      </c>
      <c r="E4" s="12" t="inlineStr">
        <is>
          <t>Sự kiện giống giọng trong non-speech</t>
        </is>
      </c>
    </row>
    <row r="5">
      <c r="A5" s="13" t="inlineStr">
        <is>
          <t>Asm</t>
        </is>
      </c>
      <c r="B5" s="14" t="n">
        <v>30</v>
      </c>
      <c r="C5" s="14" t="inlineStr">
        <is>
          <t>15–30</t>
        </is>
      </c>
      <c r="D5" s="14" t="inlineStr">
        <is>
          <t>Sạch vừa; 3 clip toàn speech</t>
        </is>
      </c>
      <c r="E5" s="14" t="inlineStr">
        <is>
          <t>Không</t>
        </is>
      </c>
    </row>
    <row r="6">
      <c r="A6" s="13" t="inlineStr">
        <is>
          <t>Clean</t>
        </is>
      </c>
      <c r="B6" s="14" t="n">
        <v>30</v>
      </c>
      <c r="C6" s="14" t="inlineStr">
        <is>
          <t>20–35</t>
        </is>
      </c>
      <c r="D6" s="14" t="inlineStr">
        <is>
          <t>Sạch</t>
        </is>
      </c>
      <c r="E6" s="14" t="inlineStr">
        <is>
          <t>Không</t>
        </is>
      </c>
    </row>
    <row r="7">
      <c r="A7" s="13" t="inlineStr">
        <is>
          <t>Noise</t>
        </is>
      </c>
      <c r="B7" s="14" t="n">
        <v>30</v>
      </c>
      <c r="C7" s="14" t="inlineStr">
        <is>
          <t>−5–10</t>
        </is>
      </c>
      <c r="D7" s="14" t="inlineStr">
        <is>
          <t>SNR thấp → score nhiễu hơn; 1 clip toàn speech</t>
        </is>
      </c>
      <c r="E7" s="14" t="inlineStr">
        <is>
          <t>Ít</t>
        </is>
      </c>
    </row>
    <row r="8">
      <c r="A8" s="13" t="inlineStr">
        <is>
          <t>Music</t>
        </is>
      </c>
      <c r="B8" s="14" t="n">
        <v>30</v>
      </c>
      <c r="C8" s="14" t="inlineStr">
        <is>
          <t>0–15</t>
        </is>
      </c>
      <c r="D8" s="14" t="inlineStr">
        <is>
          <t>Nhạc có lời gây điểm cao giả; 5 clip toàn non-speech</t>
        </is>
      </c>
      <c r="E8" s="14" t="inlineStr">
        <is>
          <t>Nhiều</t>
        </is>
      </c>
    </row>
    <row r="9">
      <c r="A9" s="13" t="inlineStr">
        <is>
          <t>Babble</t>
        </is>
      </c>
      <c r="B9" s="14" t="n">
        <v>30</v>
      </c>
      <c r="C9" s="14" t="inlineStr">
        <is>
          <t>0–12</t>
        </is>
      </c>
      <c r="D9" s="14" t="inlineStr">
        <is>
          <t>Nền nhiều giọng → điểm nền cao hơn</t>
        </is>
      </c>
      <c r="E9" s="14" t="inlineStr">
        <is>
          <t>Vừa</t>
        </is>
      </c>
    </row>
    <row r="10"/>
    <row r="11">
      <c r="A11" s="5" t="inlineStr">
        <is>
          <t>Model giả định</t>
        </is>
      </c>
    </row>
    <row r="12">
      <c r="A12" s="15" t="inlineStr">
        <is>
          <t>• Cửa sổ 0.96s, hop 0.08s (114 cửa sổ/clip); score = sigmoid(a·(tỉ lệ speech trong cửa sổ, trọng số Hanning − 0.45) + nhiễu AR(1) + sự kiện giả).</t>
        </is>
      </c>
    </row>
    <row r="13">
      <c r="A13" s="15" t="inlineStr">
        <is>
          <t>• Độ dốc a và độ nhiễu phụ thuộc SNR; file có nguồn âm đã thấy khi train được mô phỏng 'nhớ' (nhiễu ×0.5, a ×1.4).</t>
        </is>
      </c>
    </row>
    <row r="14">
      <c r="A14" s="15" t="inlineStr">
        <is>
          <t>• GT tạo ở độ phân giải 10ms, quy về bin 0.5s theo đa số (≥50%). Người gán 2: mỗi biên lệch N(0, 120ms).</t>
        </is>
      </c>
    </row>
    <row r="15"/>
    <row r="16">
      <c r="A16" s="12" t="inlineStr">
        <is>
          <t>Lỗi cài sẵn</t>
        </is>
      </c>
      <c r="B16" s="12" t="inlineStr">
        <is>
          <t>Mục kiểm tra</t>
        </is>
      </c>
      <c r="C16" s="12" t="inlineStr">
        <is>
          <t>Phát hiện được?</t>
        </is>
      </c>
    </row>
    <row r="17">
      <c r="A17" s="13" t="inlineStr">
        <is>
          <t>Model thừa không có GT (Music_31)</t>
        </is>
      </c>
      <c r="B17" s="13" t="inlineStr">
        <is>
          <t>5a</t>
        </is>
      </c>
      <c r="C17" s="13" t="inlineStr">
        <is>
          <t>Có</t>
        </is>
      </c>
    </row>
    <row r="18">
      <c r="A18" s="13" t="inlineStr">
        <is>
          <t>GT không có model (Gt_babble_30)</t>
        </is>
      </c>
      <c r="B18" s="13" t="inlineStr">
        <is>
          <t>5a</t>
        </is>
      </c>
      <c r="C18" s="13" t="inlineStr">
        <is>
          <t>Có</t>
        </is>
      </c>
    </row>
    <row r="19">
      <c r="A19" s="13" t="inlineStr">
        <is>
          <t>3 file lệch timestamp +0.5s (Clean_7, Noise_12, Babble_3)</t>
        </is>
      </c>
      <c r="B19" s="13" t="inlineStr">
        <is>
          <t>5b, 5e</t>
        </is>
      </c>
      <c r="C19" s="13" t="inlineStr">
        <is>
          <t>Có (Babble_3.txt, Clean_7.txt, Noise_12.txt)</t>
        </is>
      </c>
    </row>
    <row r="20">
      <c r="A20" s="13" t="inlineStr">
        <is>
          <t>Clip toàn speech / toàn non-speech</t>
        </is>
      </c>
      <c r="B20" s="13" t="inlineStr">
        <is>
          <t>1a</t>
        </is>
      </c>
      <c r="C20" s="13" t="inlineStr">
        <is>
          <t>Có (9 file)</t>
        </is>
      </c>
    </row>
    <row r="21">
      <c r="A21" s="13" t="inlineStr">
        <is>
          <t>~50% clip dùng nguồn âm có trong train</t>
        </is>
      </c>
      <c r="B21" s="13" t="inlineStr">
        <is>
          <t>2a, 2c</t>
        </is>
      </c>
      <c r="C21" s="13" t="inlineStr">
        <is>
          <t>Có (50%)</t>
        </is>
      </c>
    </row>
    <row r="22">
      <c r="A22" s="13" t="inlineStr">
        <is>
          <t>Nhạc có lời / babble gây false alarm</t>
        </is>
      </c>
      <c r="B22" s="13" t="inlineStr">
        <is>
          <t>4b</t>
        </is>
      </c>
      <c r="C22" s="13" t="inlineStr">
        <is>
          <t>Có (FAR cao ở Babble, Music)</t>
        </is>
      </c>
    </row>
    <row r="23">
      <c r="A23" s="13" t="inlineStr">
        <is>
          <t>Nhãn mơ hồ ở biên (người gán 2)</t>
        </is>
      </c>
      <c r="B23" s="13" t="inlineStr">
        <is>
          <t>3a</t>
        </is>
      </c>
      <c r="C23" s="13" t="inlineStr">
        <is>
          <t>Có (κ biên 0.72)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2" customWidth="1" min="4" max="4"/>
    <col width="13" customWidth="1" min="5" max="5"/>
    <col width="34" customWidth="1" min="6" max="6"/>
  </cols>
  <sheetData>
    <row r="1">
      <c r="A1" s="1" t="inlineStr">
        <is>
          <t>Checklist kiểm tra chất lượng dữ liệu – kết quả thực hiện</t>
        </is>
      </c>
    </row>
    <row r="2">
      <c r="A2" s="2" t="inlineStr">
        <is>
          <t>Trạng thái: Đạt / Cảnh báo / Không đạt / Không áp dụng. Ngưỡng là ngưỡng thực hành.</t>
        </is>
      </c>
    </row>
    <row r="3"/>
    <row r="4">
      <c r="A4" s="12" t="inlineStr">
        <is>
          <t>Mã</t>
        </is>
      </c>
      <c r="B4" s="12" t="inlineStr">
        <is>
          <t>Kiểm tra</t>
        </is>
      </c>
      <c r="C4" s="12" t="inlineStr">
        <is>
          <t>Ngưỡng cảnh báo</t>
        </is>
      </c>
      <c r="D4" s="12" t="inlineStr">
        <is>
          <t>Kết quả đo</t>
        </is>
      </c>
      <c r="E4" s="12" t="inlineStr">
        <is>
          <t>Trạng thái</t>
        </is>
      </c>
      <c r="F4" s="12" t="inlineStr">
        <is>
          <t>Ghi chú / hành động</t>
        </is>
      </c>
    </row>
    <row r="5" ht="44" customHeight="1">
      <c r="A5" s="13" t="inlineStr">
        <is>
          <t>5a</t>
        </is>
      </c>
      <c r="B5" s="13" t="inlineStr">
        <is>
          <t>Ghép file Model↔GT</t>
        </is>
      </c>
      <c r="C5" s="13" t="inlineStr">
        <is>
          <t>Bất kỳ lỗi nào</t>
        </is>
      </c>
      <c r="D5" s="13" t="inlineStr">
        <is>
          <t>2 lỗi: Model thiáº¿u GT (Music_31.txt); GT thiáº¿u model (Gt_babble_30.txt)</t>
        </is>
      </c>
      <c r="E5" s="14" t="inlineStr">
        <is>
          <t>Không đạt</t>
        </is>
      </c>
      <c r="F5" s="13" t="inlineStr">
        <is>
          <t>Đã loại 2 file khỏi đánh giá</t>
        </is>
      </c>
    </row>
    <row r="6" ht="44" customHeight="1">
      <c r="A6" s="13" t="inlineStr">
        <is>
          <t>5b</t>
        </is>
      </c>
      <c r="B6" s="13" t="inlineStr">
        <is>
          <t>Thời lượng / số bin</t>
        </is>
      </c>
      <c r="C6" s="13" t="inlineStr">
        <is>
          <t>Lệch &gt; 1 bin</t>
        </is>
      </c>
      <c r="D6" s="13" t="inlineStr">
        <is>
          <t>3 file có start đầu ≠ 0: Babble_3.txt, Clean_7.txt, Noise_12.txt</t>
        </is>
      </c>
      <c r="E6" s="14" t="inlineStr">
        <is>
          <t>Không đạt</t>
        </is>
      </c>
      <c r="F6" s="13" t="inlineStr">
        <is>
          <t>Trùng với 5e</t>
        </is>
      </c>
    </row>
    <row r="7" ht="44" customHeight="1">
      <c r="A7" s="13" t="inlineStr">
        <is>
          <t>5c</t>
        </is>
      </c>
      <c r="B7" s="13" t="inlineStr">
        <is>
          <t>Định dạng audio (16 kHz mono)</t>
        </is>
      </c>
      <c r="C7" s="13" t="inlineStr">
        <is>
          <t>Khác</t>
        </is>
      </c>
      <c r="D7" s="13" t="inlineStr">
        <is>
          <t>Dữ liệu mô phỏng không có audio</t>
        </is>
      </c>
      <c r="E7" s="14" t="inlineStr">
        <is>
          <t>Không áp dụng</t>
        </is>
      </c>
      <c r="F7" s="13" t="inlineStr">
        <is>
          <t>Với dữ liệu thật: soundfile.info</t>
        </is>
      </c>
    </row>
    <row r="8" ht="44" customHeight="1">
      <c r="A8" s="13" t="inlineStr">
        <is>
          <t>5d</t>
        </is>
      </c>
      <c r="B8" s="13" t="inlineStr">
        <is>
          <t>Hop / cửa sổ</t>
        </is>
      </c>
      <c r="C8" s="13" t="inlineStr">
        <is>
          <t>Sai</t>
        </is>
      </c>
      <c r="D8" s="13" t="inlineStr">
        <is>
          <t>hop sai: 0; cửa sổ sai: 0; score ngoài [0,1]: 0</t>
        </is>
      </c>
      <c r="E8" s="14" t="inlineStr">
        <is>
          <t>Đạt</t>
        </is>
      </c>
      <c r="F8" s="13" t="inlineStr"/>
    </row>
    <row r="9" ht="44" customHeight="1">
      <c r="A9" s="13" t="inlineStr">
        <is>
          <t>5e</t>
        </is>
      </c>
      <c r="B9" s="13" t="inlineStr">
        <is>
          <t>Offset tâm cửa sổ / lag từng file</t>
        </is>
      </c>
      <c r="C9" s="13" t="inlineStr">
        <is>
          <t>Đỉnh F1 lệch 0 &gt; ±0.08s; |lag| ≥ 0.4s</t>
        </is>
      </c>
      <c r="D9" s="13" t="inlineStr">
        <is>
          <t>Đỉnh F1: start +0.48s, tâm +0.00s. Lệch 1 bin: Babble_3.txt, Clean_7.txt, Noise_12.txt</t>
        </is>
      </c>
      <c r="E9" s="14" t="inlineStr">
        <is>
          <t>Không đạt</t>
        </is>
      </c>
      <c r="F9" s="13" t="inlineStr">
        <is>
          <t>Đã sửa 3 file; 8 file "cần xem" là nhiễu ước lượng</t>
        </is>
      </c>
    </row>
    <row r="10" ht="44" customHeight="1">
      <c r="A10" s="13" t="inlineStr">
        <is>
          <t>1a</t>
        </is>
      </c>
      <c r="B10" s="13" t="inlineStr">
        <is>
          <t>File suy biến</t>
        </is>
      </c>
      <c r="C10" s="13" t="inlineStr">
        <is>
          <t>&gt; 5–10%</t>
        </is>
      </c>
      <c r="D10" s="13" t="inlineStr">
        <is>
          <t>6.0% số file</t>
        </is>
      </c>
      <c r="E10" s="14" t="inlineStr">
        <is>
          <t>Cảnh báo</t>
        </is>
      </c>
      <c r="F10" s="13" t="inlineStr">
        <is>
          <t>Loại khỏi chỉ số per-file</t>
        </is>
      </c>
    </row>
    <row r="11" ht="44" customHeight="1">
      <c r="A11" s="13" t="inlineStr">
        <is>
          <t>1b</t>
        </is>
      </c>
      <c r="B11" s="13" t="inlineStr">
        <is>
          <t>File cực đoan</t>
        </is>
      </c>
      <c r="C11" s="13" t="inlineStr">
        <is>
          <t>&gt; 30%</t>
        </is>
      </c>
      <c r="D11" s="13" t="inlineStr">
        <is>
          <t>6.0% số file</t>
        </is>
      </c>
      <c r="E11" s="14" t="inlineStr">
        <is>
          <t>Đạt</t>
        </is>
      </c>
      <c r="F11" s="13" t="inlineStr"/>
    </row>
    <row r="12" ht="44" customHeight="1">
      <c r="A12" s="13" t="inlineStr">
        <is>
          <t>1c</t>
        </is>
      </c>
      <c r="B12" s="13" t="inlineStr">
        <is>
          <t>Độ phức tạp thời gian</t>
        </is>
      </c>
      <c r="C12" s="13" t="inlineStr">
        <is>
          <t>Trung vị transitions ≤ 1</t>
        </is>
      </c>
      <c r="D12" s="13" t="inlineStr">
        <is>
          <t>Trung vị 5; bin biên TB 45%</t>
        </is>
      </c>
      <c r="E12" s="14" t="inlineStr">
        <is>
          <t>Đạt</t>
        </is>
      </c>
      <c r="F12" s="13" t="inlineStr">
        <is>
          <t>Bin biên chiếm tỉ lệ lớn → phải tách lỗi biên</t>
        </is>
      </c>
    </row>
    <row r="13" ht="44" customHeight="1">
      <c r="A13" s="13" t="inlineStr">
        <is>
          <t>1d</t>
        </is>
      </c>
      <c r="B13" s="13" t="inlineStr">
        <is>
          <t>AUC gộp vs theo file</t>
        </is>
      </c>
      <c r="C13" s="13" t="inlineStr">
        <is>
          <t>Chênh &gt; 0.005; file &lt; 0.9</t>
        </is>
      </c>
      <c r="D13" s="13" t="inlineStr">
        <is>
          <t>Chênh +0.0015; macro 0.979±0.052; 8 file &lt; 0.9 (tệ nhất 0.637)</t>
        </is>
      </c>
      <c r="E13" s="14" t="inlineStr">
        <is>
          <t>Cảnh báo</t>
        </is>
      </c>
      <c r="F13" s="13" t="inlineStr">
        <is>
          <t>Xem timeline các file tệ</t>
        </is>
      </c>
    </row>
    <row r="14" ht="44" customHeight="1">
      <c r="A14" s="13" t="inlineStr">
        <is>
          <t>2a</t>
        </is>
      </c>
      <c r="B14" s="13" t="inlineStr">
        <is>
          <t>Rò rỉ theo metadata</t>
        </is>
      </c>
      <c r="C14" s="13" t="inlineStr">
        <is>
          <t>&gt; 0 file dùng nguồn train</t>
        </is>
      </c>
      <c r="D14" s="13" t="inlineStr">
        <is>
          <t>50% file dùng nguồn đã có trong train; nhóm lớn nhất 109 file</t>
        </is>
      </c>
      <c r="E14" s="14" t="inlineStr">
        <is>
          <t>Không đạt</t>
        </is>
      </c>
      <c r="F14" s="13" t="inlineStr">
        <is>
          <t>Loại file 'seen'; chia theo câu nói gốc</t>
        </is>
      </c>
    </row>
    <row r="15" ht="44" customHeight="1">
      <c r="A15" s="13" t="inlineStr">
        <is>
          <t>2b</t>
        </is>
      </c>
      <c r="B15" s="13" t="inlineStr">
        <is>
          <t>Nguồn dùng chung dev/test</t>
        </is>
      </c>
      <c r="C15" s="13" t="inlineStr">
        <is>
          <t>&gt; 0</t>
        </is>
      </c>
      <c r="D15" s="13" t="inlineStr">
        <is>
          <t>0 nhóm câu nói vắt qua; 8 nguồn nhiễu dùng chung</t>
        </is>
      </c>
      <c r="E15" s="14" t="inlineStr">
        <is>
          <t>Cảnh báo</t>
        </is>
      </c>
      <c r="F15" s="13" t="inlineStr">
        <is>
          <t>Nhiễu chung chỉ ảnh hưởng chọn ngưỡng</t>
        </is>
      </c>
    </row>
    <row r="16" ht="44" customHeight="1">
      <c r="A16" s="13" t="inlineStr">
        <is>
          <t>2c</t>
        </is>
      </c>
      <c r="B16" s="13" t="inlineStr">
        <is>
          <t>Tác động của rò rỉ</t>
        </is>
      </c>
      <c r="C16" s="13" t="inlineStr">
        <is>
          <t>ΔAUC ≥ 0.01</t>
        </is>
      </c>
      <c r="D16" s="13" t="inlineStr">
        <is>
          <t>AUC seen 0.9900 vs unseen 0.9733 (Δ +0.0167)</t>
        </is>
      </c>
      <c r="E16" s="14" t="inlineStr">
        <is>
          <t>Không đạt</t>
        </is>
      </c>
      <c r="F16" s="13" t="inlineStr">
        <is>
          <t>Báo cáo trên unseen</t>
        </is>
      </c>
    </row>
    <row r="17" ht="44" customHeight="1">
      <c r="A17" s="13" t="inlineStr">
        <is>
          <t>3a</t>
        </is>
      </c>
      <c r="B17" s="13" t="inlineStr">
        <is>
          <t>Đồng thuận nhãn</t>
        </is>
      </c>
      <c r="C17" s="13" t="inlineStr">
        <is>
          <t>κ trong &lt; 0.9; median lệch &gt; 250ms</t>
        </is>
      </c>
      <c r="D17" s="13" t="inlineStr">
        <is>
          <t>13 file; κ trong 1.00, κ biên 0.72, PABAK 0.87, lệch biên trung vị 90ms</t>
        </is>
      </c>
      <c r="E17" s="14" t="inlineStr">
        <is>
          <t>Cảnh báo</t>
        </is>
      </c>
      <c r="F17" s="13" t="inlineStr">
        <is>
          <t>Báo cáo thêm chế độ collar ±1 bin</t>
        </is>
      </c>
    </row>
    <row r="18" ht="44" customHeight="1">
      <c r="A18" s="13" t="inlineStr">
        <is>
          <t>3b</t>
        </is>
      </c>
      <c r="B18" s="13" t="inlineStr">
        <is>
          <t>Nhãn đáng ngờ</t>
        </is>
      </c>
      <c r="C18" s="13" t="inlineStr">
        <is>
          <t>—</t>
        </is>
      </c>
      <c r="D18" s="13" t="inlineStr">
        <is>
          <t>3 bin tự tin trái GT ngoài vùng biên</t>
        </is>
      </c>
      <c r="E18" s="14" t="inlineStr">
        <is>
          <t>Cảnh báo</t>
        </is>
      </c>
      <c r="F18" s="13" t="inlineStr">
        <is>
          <t>Xem sheet 'Nhan dang ngo'; nghe lại</t>
        </is>
      </c>
    </row>
    <row r="19" ht="44" customHeight="1">
      <c r="A19" s="13" t="inlineStr">
        <is>
          <t>4a</t>
        </is>
      </c>
      <c r="B19" s="13" t="inlineStr">
        <is>
          <t>Độ tách điểm số</t>
        </is>
      </c>
      <c r="C19" s="13" t="inlineStr">
        <is>
          <t>&lt; 2% bin mơ hồ và F1 phẳng</t>
        </is>
      </c>
      <c r="D19" s="13" t="inlineStr">
        <is>
          <t>31.0% bin có 0.1&lt;p&lt;0.9 (80% nằm ở biên); F1 dao động 0.075 khi ngưỡng 0.2–0.9</t>
        </is>
      </c>
      <c r="E19" s="14" t="inlineStr">
        <is>
          <t>Đạt</t>
        </is>
      </c>
      <c r="F19" s="13" t="inlineStr"/>
    </row>
    <row r="20" ht="44" customHeight="1">
      <c r="A20" s="13" t="inlineStr">
        <is>
          <t>4b</t>
        </is>
      </c>
      <c r="B20" s="13" t="inlineStr">
        <is>
          <t>Hard negative</t>
        </is>
      </c>
      <c r="C20" s="13" t="inlineStr">
        <is>
          <t>Không có nhạc có lời/TV/babble</t>
        </is>
      </c>
      <c r="D20" s="13" t="inlineStr">
        <is>
          <t>Có Music (sự kiện giống giọng) và Babble; FAR Asm 10%, Babble 38%, Clean 8%, Music 17%, Noise 23%</t>
        </is>
      </c>
      <c r="E20" s="14" t="inlineStr">
        <is>
          <t>Đạt</t>
        </is>
      </c>
      <c r="F20" s="13" t="inlineStr">
        <is>
          <t>Babble là điểm yếu chính</t>
        </is>
      </c>
    </row>
    <row r="21" ht="44" customHeight="1">
      <c r="A21" s="13" t="inlineStr">
        <is>
          <t>4c</t>
        </is>
      </c>
      <c r="B21" s="13" t="inlineStr">
        <is>
          <t>Phân bố SNR</t>
        </is>
      </c>
      <c r="C21" s="13" t="inlineStr">
        <is>
          <t>&gt; 80% ở trên 15 dB</t>
        </is>
      </c>
      <c r="D21" s="13" t="inlineStr">
        <is>
          <t>40% file &gt; 15 dB; AUC theo bucket: &lt;0: 0.939, 0–5: 0.956, 5–10: 0.986, 10–20: 0.983, &gt;20: 0.997</t>
        </is>
      </c>
      <c r="E21" s="14" t="inlineStr">
        <is>
          <t>Đạt</t>
        </is>
      </c>
      <c r="F21" s="13" t="inlineStr"/>
    </row>
    <row r="22" ht="44" customHeight="1">
      <c r="A22" s="13" t="inlineStr">
        <is>
          <t>4d</t>
        </is>
      </c>
      <c r="B22" s="13" t="inlineStr">
        <is>
          <t>Kiểm chứng thực tế</t>
        </is>
      </c>
      <c r="C22" s="13" t="inlineStr">
        <is>
          <t>Chênh lớn so với tổng hợp</t>
        </is>
      </c>
      <c r="D22" s="13" t="inlineStr">
        <is>
          <t>Chưa có bộ test thật</t>
        </is>
      </c>
      <c r="E22" s="14" t="inlineStr">
        <is>
          <t>Không áp dụng</t>
        </is>
      </c>
      <c r="F22" s="13" t="inlineStr">
        <is>
          <t>Cần bổ sung</t>
        </is>
      </c>
    </row>
    <row r="23"/>
    <row r="24">
      <c r="B24" s="5" t="inlineStr">
        <is>
          <t>Tổng hợp</t>
        </is>
      </c>
    </row>
    <row r="25">
      <c r="B25" s="16" t="inlineStr">
        <is>
          <t>Đạt</t>
        </is>
      </c>
      <c r="C25" s="16">
        <f>COUNTIF($E$5:$E$22,B25)</f>
        <v/>
      </c>
    </row>
    <row r="26">
      <c r="B26" s="16" t="inlineStr">
        <is>
          <t>Cảnh báo</t>
        </is>
      </c>
      <c r="C26" s="16">
        <f>COUNTIF($E$5:$E$22,B26)</f>
        <v/>
      </c>
    </row>
    <row r="27">
      <c r="B27" s="16" t="inlineStr">
        <is>
          <t>Không đạt</t>
        </is>
      </c>
      <c r="C27" s="16">
        <f>COUNTIF($E$5:$E$22,B27)</f>
        <v/>
      </c>
    </row>
    <row r="28">
      <c r="B28" s="16" t="inlineStr">
        <is>
          <t>Không áp dụng</t>
        </is>
      </c>
      <c r="C28" s="16">
        <f>COUNTIF($E$5:$E$22,B28)</f>
        <v/>
      </c>
    </row>
  </sheetData>
  <conditionalFormatting sqref="E5:E22">
    <cfRule type="cellIs" priority="1" operator="equal" dxfId="0">
      <formula>"Đạt"</formula>
    </cfRule>
    <cfRule type="cellIs" priority="2" operator="equal" dxfId="1">
      <formula>"Cảnh báo"</formula>
    </cfRule>
    <cfRule type="cellIs" priority="3" operator="equal" dxfId="2">
      <formula>"Không đạt"</formula>
    </cfRule>
    <cfRule type="cellIs" priority="4" operator="equal" dxfId="3">
      <formula>"Không áp dụng"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Tầng A – điểm thô (trước hậu xử lý), trên test</t>
        </is>
      </c>
    </row>
    <row r="2">
      <c r="A2" s="2" t="inlineStr">
        <is>
          <t>AUC_khong_bien: bỏ bin quanh biên GT; AUC_chi_bien: chỉ bin biên. Hàng cuối là file 'seen' để so sánh, không dùng để báo cáo.</t>
        </is>
      </c>
    </row>
    <row r="3"/>
    <row r="4">
      <c r="A4" s="12" t="inlineStr">
        <is>
          <t>Tập</t>
        </is>
      </c>
      <c r="B4" s="12" t="inlineStr">
        <is>
          <t>n_file</t>
        </is>
      </c>
      <c r="C4" s="12" t="inlineStr">
        <is>
          <t>n_bin</t>
        </is>
      </c>
      <c r="D4" s="12" t="inlineStr">
        <is>
          <t>pct_speech</t>
        </is>
      </c>
      <c r="E4" s="12" t="inlineStr">
        <is>
          <t>AUC_micro</t>
        </is>
      </c>
      <c r="F4" s="12" t="inlineStr">
        <is>
          <t>AUC_macro_file</t>
        </is>
      </c>
      <c r="G4" s="12" t="inlineStr">
        <is>
          <t>AUC_khong_bien</t>
        </is>
      </c>
      <c r="H4" s="12" t="inlineStr">
        <is>
          <t>AUC_chi_bien</t>
        </is>
      </c>
      <c r="I4" s="12" t="inlineStr">
        <is>
          <t>PR_AUC</t>
        </is>
      </c>
      <c r="J4" s="12" t="inlineStr">
        <is>
          <t>TPR_at_FPR1</t>
        </is>
      </c>
      <c r="K4" s="12" t="inlineStr">
        <is>
          <t>TPR_at_FPR5</t>
        </is>
      </c>
      <c r="L4" s="12" t="inlineStr">
        <is>
          <t>Brier</t>
        </is>
      </c>
    </row>
    <row r="5">
      <c r="A5" s="13" t="inlineStr">
        <is>
          <t>Test (tất cả)</t>
        </is>
      </c>
      <c r="B5" s="14" t="n">
        <v>48</v>
      </c>
      <c r="C5" s="14" t="n">
        <v>960</v>
      </c>
      <c r="D5" s="17" t="n">
        <v>0.575</v>
      </c>
      <c r="E5" s="18" t="n">
        <v>0.9734432722364308</v>
      </c>
      <c r="F5" s="18" t="n">
        <v>0.9686903158569826</v>
      </c>
      <c r="G5" s="18" t="n">
        <v>0.9887197304067756</v>
      </c>
      <c r="H5" s="18" t="n">
        <v>0.9398499558693736</v>
      </c>
      <c r="I5" s="18" t="n">
        <v>0.9748974865752162</v>
      </c>
      <c r="J5" s="18" t="n">
        <v>0.6231884057971014</v>
      </c>
      <c r="K5" s="18" t="n">
        <v>0.8442028985507246</v>
      </c>
      <c r="L5" s="18" t="n">
        <v>0.06449378349663989</v>
      </c>
    </row>
    <row r="6">
      <c r="A6" s="13" t="inlineStr">
        <is>
          <t>Asm</t>
        </is>
      </c>
      <c r="B6" s="14" t="n">
        <v>12</v>
      </c>
      <c r="C6" s="14" t="n">
        <v>240</v>
      </c>
      <c r="D6" s="17" t="n">
        <v>0.5916666666666667</v>
      </c>
      <c r="E6" s="18" t="n">
        <v>0.99360448404714</v>
      </c>
      <c r="F6" s="18" t="n">
        <v>0.9904082659764476</v>
      </c>
      <c r="G6" s="18" t="n">
        <v>1</v>
      </c>
      <c r="H6" s="18" t="n">
        <v>0.977796052631579</v>
      </c>
      <c r="I6" s="18" t="n">
        <v>0.9952083688632274</v>
      </c>
      <c r="J6" s="18" t="n">
        <v>0.676056338028169</v>
      </c>
      <c r="K6" s="18" t="n">
        <v>0.971830985915493</v>
      </c>
      <c r="L6" s="18" t="n">
        <v>0.0333090746357709</v>
      </c>
    </row>
    <row r="7">
      <c r="A7" s="13" t="inlineStr">
        <is>
          <t>Babble</t>
        </is>
      </c>
      <c r="B7" s="14" t="n">
        <v>6</v>
      </c>
      <c r="C7" s="14" t="n">
        <v>120</v>
      </c>
      <c r="D7" s="17" t="n">
        <v>0.5833333333333334</v>
      </c>
      <c r="E7" s="18" t="n">
        <v>0.886</v>
      </c>
      <c r="F7" s="18" t="n">
        <v>0.9110857198357198</v>
      </c>
      <c r="G7" s="18" t="n">
        <v>0.8930232558139535</v>
      </c>
      <c r="H7" s="18" t="n">
        <v>0.8666666666666667</v>
      </c>
      <c r="I7" s="18" t="n">
        <v>0.8889979191284548</v>
      </c>
      <c r="J7" s="18" t="n">
        <v>0.0285714285714285</v>
      </c>
      <c r="K7" s="18" t="n">
        <v>0.4428571428571428</v>
      </c>
      <c r="L7" s="18" t="n">
        <v>0.1336215801817366</v>
      </c>
    </row>
    <row r="8">
      <c r="A8" s="13" t="inlineStr">
        <is>
          <t>Clean</t>
        </is>
      </c>
      <c r="B8" s="14" t="n">
        <v>10</v>
      </c>
      <c r="C8" s="14" t="n">
        <v>200</v>
      </c>
      <c r="D8" s="17" t="n">
        <v>0.6</v>
      </c>
      <c r="E8" s="18" t="n">
        <v>0.9977083333333332</v>
      </c>
      <c r="F8" s="18" t="n">
        <v>0.9973333333333332</v>
      </c>
      <c r="G8" s="18" t="n">
        <v>1</v>
      </c>
      <c r="H8" s="18" t="n">
        <v>0.9910207939508509</v>
      </c>
      <c r="I8" s="18" t="n">
        <v>0.9984513571812093</v>
      </c>
      <c r="J8" s="18" t="n">
        <v>0.9</v>
      </c>
      <c r="K8" s="18" t="n">
        <v>1</v>
      </c>
      <c r="L8" s="18" t="n">
        <v>0.0274190200072562</v>
      </c>
    </row>
    <row r="9">
      <c r="A9" s="13" t="inlineStr">
        <is>
          <t>Music</t>
        </is>
      </c>
      <c r="B9" s="14" t="n">
        <v>11</v>
      </c>
      <c r="C9" s="14" t="n">
        <v>220</v>
      </c>
      <c r="D9" s="17" t="n">
        <v>0.4636363636363636</v>
      </c>
      <c r="E9" s="18" t="n">
        <v>0.9722499169159188</v>
      </c>
      <c r="F9" s="18" t="n">
        <v>0.9819159235825904</v>
      </c>
      <c r="G9" s="18" t="n">
        <v>0.997717368748703</v>
      </c>
      <c r="H9" s="18" t="n">
        <v>0.8968105065666041</v>
      </c>
      <c r="I9" s="18" t="n">
        <v>0.97212398015016</v>
      </c>
      <c r="J9" s="18" t="n">
        <v>0.7254901960784313</v>
      </c>
      <c r="K9" s="18" t="n">
        <v>0.8627450980392157</v>
      </c>
      <c r="L9" s="18" t="n">
        <v>0.0770548793002989</v>
      </c>
    </row>
    <row r="10">
      <c r="A10" s="13" t="inlineStr">
        <is>
          <t>Noise</t>
        </is>
      </c>
      <c r="B10" s="14" t="n">
        <v>9</v>
      </c>
      <c r="C10" s="14" t="n">
        <v>180</v>
      </c>
      <c r="D10" s="17" t="n">
        <v>0.6555555555555556</v>
      </c>
      <c r="E10" s="18" t="n">
        <v>0.9446418808091852</v>
      </c>
      <c r="F10" s="18" t="n">
        <v>0.9354980359147026</v>
      </c>
      <c r="G10" s="18" t="n">
        <v>0.9874141876430206</v>
      </c>
      <c r="H10" s="18" t="n">
        <v>0.8821733821733821</v>
      </c>
      <c r="I10" s="18" t="n">
        <v>0.9686164900672324</v>
      </c>
      <c r="J10" s="18" t="n">
        <v>0.3050847457627119</v>
      </c>
      <c r="K10" s="18" t="n">
        <v>0.7542372881355932</v>
      </c>
      <c r="L10" s="18" t="n">
        <v>0.0858299287492441</v>
      </c>
    </row>
    <row r="11">
      <c r="A11" s="13" t="inlineStr">
        <is>
          <t>File 'seen' (tham khảo)</t>
        </is>
      </c>
      <c r="B11" s="14" t="n">
        <v>75</v>
      </c>
      <c r="C11" s="14" t="n">
        <v>1500</v>
      </c>
      <c r="D11" s="17" t="n">
        <v>0.5866666666666667</v>
      </c>
      <c r="E11" s="18" t="n">
        <v>0.9907587976539588</v>
      </c>
      <c r="F11" s="18" t="n">
        <v>0.9899909129994912</v>
      </c>
      <c r="G11" s="18" t="n">
        <v>0.999830388884366</v>
      </c>
      <c r="H11" s="18" t="n">
        <v>0.9678225168183616</v>
      </c>
      <c r="I11" s="18" t="n">
        <v>0.9929219032446432</v>
      </c>
      <c r="J11" s="18" t="n">
        <v>0.7443181818181818</v>
      </c>
      <c r="K11" s="18" t="n">
        <v>0.9659090909090908</v>
      </c>
      <c r="L11" s="18" t="n">
        <v>0.0397870453799168</v>
      </c>
    </row>
    <row r="12"/>
    <row r="13">
      <c r="A13" s="5" t="inlineStr">
        <is>
          <t>AUC theo bucket SNR (mọi file không suy biến)</t>
        </is>
      </c>
    </row>
    <row r="14">
      <c r="A14" s="12" t="inlineStr">
        <is>
          <t>snr_bucket</t>
        </is>
      </c>
      <c r="B14" s="12" t="inlineStr">
        <is>
          <t>n_file</t>
        </is>
      </c>
      <c r="C14" s="12" t="inlineStr">
        <is>
          <t>auc</t>
        </is>
      </c>
    </row>
    <row r="15">
      <c r="A15" s="13" t="inlineStr">
        <is>
          <t>&lt;0</t>
        </is>
      </c>
      <c r="B15" s="14" t="n">
        <v>9</v>
      </c>
      <c r="C15" s="18" t="n">
        <v>0.9393110989611808</v>
      </c>
    </row>
    <row r="16">
      <c r="A16" s="13" t="inlineStr">
        <is>
          <t>0–5</t>
        </is>
      </c>
      <c r="B16" s="14" t="n">
        <v>30</v>
      </c>
      <c r="C16" s="18" t="n">
        <v>0.9559607785414238</v>
      </c>
    </row>
    <row r="17">
      <c r="A17" s="13" t="inlineStr">
        <is>
          <t>5–10</t>
        </is>
      </c>
      <c r="B17" s="14" t="n">
        <v>30</v>
      </c>
      <c r="C17" s="18" t="n">
        <v>0.9856583868137956</v>
      </c>
    </row>
    <row r="18">
      <c r="A18" s="13" t="inlineStr">
        <is>
          <t>10–20</t>
        </is>
      </c>
      <c r="B18" s="14" t="n">
        <v>24</v>
      </c>
      <c r="C18" s="18" t="n">
        <v>0.982529103190572</v>
      </c>
    </row>
    <row r="19">
      <c r="A19" s="13" t="inlineStr">
        <is>
          <t>&gt;20</t>
        </is>
      </c>
      <c r="B19" s="14" t="n">
        <v>47</v>
      </c>
      <c r="C19" s="18" t="n">
        <v>0.9970961492001384</v>
      </c>
    </row>
  </sheetData>
  <conditionalFormatting sqref="E5:E11">
    <cfRule type="cellIs" priority="1" operator="lessThan" dxfId="2">
      <formula>0.95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2" customWidth="1" min="8" max="8"/>
    <col width="10" customWidth="1" min="9" max="9"/>
  </cols>
  <sheetData>
    <row r="1">
      <c r="A1" s="1" t="inlineStr">
        <is>
          <t>Chọn ngưỡng trên dev – quét qua toàn pipeline A4</t>
        </is>
      </c>
    </row>
    <row r="2">
      <c r="A2" s="2" t="inlineStr">
        <is>
          <t>DCF = 0.75·MR + 0.25·FAR (công thức). Dòng có DCF nhỏ nhất được đánh dấu.</t>
        </is>
      </c>
    </row>
    <row r="3"/>
    <row r="4">
      <c r="A4" s="12" t="inlineStr">
        <is>
          <t>thr</t>
        </is>
      </c>
      <c r="B4" s="12" t="inlineStr">
        <is>
          <t>MR</t>
        </is>
      </c>
      <c r="C4" s="12" t="inlineStr">
        <is>
          <t>FAR</t>
        </is>
      </c>
      <c r="D4" s="12" t="inlineStr">
        <is>
          <t>F1</t>
        </is>
      </c>
      <c r="E4" s="19" t="inlineStr">
        <is>
          <t>DCF</t>
        </is>
      </c>
      <c r="F4" s="19" t="inlineStr">
        <is>
          <t>Chọn</t>
        </is>
      </c>
      <c r="H4" s="5" t="inlineStr">
        <is>
          <t>Ngưỡng chọn (DCF-min)</t>
        </is>
      </c>
      <c r="I4" s="16">
        <f>INDEX(A5:A95,MATCH(MIN(E5:E95),E5:E95,0))</f>
        <v/>
      </c>
    </row>
    <row r="5">
      <c r="A5" s="13" t="n">
        <v>0.05</v>
      </c>
      <c r="B5" s="17" t="n">
        <v>0</v>
      </c>
      <c r="C5" s="17" t="n">
        <v>0.7970297029702971</v>
      </c>
      <c r="D5" s="18" t="n">
        <v>0.7979924717691342</v>
      </c>
      <c r="E5" s="20">
        <f>0.75*B5+0.25*C5</f>
        <v/>
      </c>
      <c r="F5" s="21">
        <f>IF(E5=MIN($E$5:$E$95),"◄ chọn","")</f>
        <v/>
      </c>
      <c r="H5" s="16" t="inlineStr">
        <is>
          <t>Youden trên điểm thô (dev)</t>
        </is>
      </c>
      <c r="I5" s="16" t="n">
        <v>0.698</v>
      </c>
    </row>
    <row r="6">
      <c r="A6" s="13" t="n">
        <v>0.06</v>
      </c>
      <c r="B6" s="17" t="n">
        <v>0</v>
      </c>
      <c r="C6" s="17" t="n">
        <v>0.7524752475247525</v>
      </c>
      <c r="D6" s="18" t="n">
        <v>0.8071065989847716</v>
      </c>
      <c r="E6" s="20">
        <f>0.75*B6+0.25*C6</f>
        <v/>
      </c>
      <c r="F6" s="21">
        <f>IF(E6=MIN($E$5:$E$95),"◄ chọn","")</f>
        <v/>
      </c>
      <c r="H6" s="16" t="inlineStr">
        <is>
          <t>DCF test tại ngưỡng Youden</t>
        </is>
      </c>
      <c r="I6" s="16" t="n">
        <v>0.1011</v>
      </c>
    </row>
    <row r="7">
      <c r="A7" s="13" t="n">
        <v>0.07000000000000001</v>
      </c>
      <c r="B7" s="17" t="n">
        <v>0</v>
      </c>
      <c r="C7" s="17" t="n">
        <v>0.7376237623762376</v>
      </c>
      <c r="D7" s="18" t="n">
        <v>0.8101910828025478</v>
      </c>
      <c r="E7" s="20">
        <f>0.75*B7+0.25*C7</f>
        <v/>
      </c>
      <c r="F7" s="21">
        <f>IF(E7=MIN($E$5:$E$95),"◄ chọn","")</f>
        <v/>
      </c>
      <c r="H7" s="16" t="inlineStr">
        <is>
          <t>DCF test tại ngưỡng DCF-min</t>
        </is>
      </c>
      <c r="I7" s="16" t="n">
        <v>0.0735</v>
      </c>
    </row>
    <row r="8">
      <c r="A8" s="13" t="n">
        <v>0.08</v>
      </c>
      <c r="B8" s="17" t="n">
        <v>0</v>
      </c>
      <c r="C8" s="17" t="n">
        <v>0.7079207920792079</v>
      </c>
      <c r="D8" s="18" t="n">
        <v>0.8164313222079589</v>
      </c>
      <c r="E8" s="20">
        <f>0.75*B8+0.25*C8</f>
        <v/>
      </c>
      <c r="F8" s="21">
        <f>IF(E8=MIN($E$5:$E$95),"◄ chọn","")</f>
        <v/>
      </c>
      <c r="H8" s="16" t="n"/>
      <c r="I8" s="16" t="n"/>
    </row>
    <row r="9">
      <c r="A9" s="13" t="n">
        <v>0.09</v>
      </c>
      <c r="B9" s="17" t="n">
        <v>0</v>
      </c>
      <c r="C9" s="17" t="n">
        <v>0.698019801980198</v>
      </c>
      <c r="D9" s="18" t="n">
        <v>0.8185328185328186</v>
      </c>
      <c r="E9" s="20">
        <f>0.75*B9+0.25*C9</f>
        <v/>
      </c>
      <c r="F9" s="21">
        <f>IF(E9=MIN($E$5:$E$95),"◄ chọn","")</f>
        <v/>
      </c>
      <c r="H9" s="5" t="inlineStr">
        <is>
          <t>Ngưỡng tối ưu từng cấu hình (dev)</t>
        </is>
      </c>
      <c r="I9" s="16" t="n"/>
    </row>
    <row r="10">
      <c r="A10" s="13" t="n">
        <v>0.1</v>
      </c>
      <c r="B10" s="17" t="n">
        <v>0</v>
      </c>
      <c r="C10" s="17" t="n">
        <v>0.693069306930693</v>
      </c>
      <c r="D10" s="18" t="n">
        <v>0.8195876288659794</v>
      </c>
      <c r="E10" s="20">
        <f>0.75*B10+0.25*C10</f>
        <v/>
      </c>
      <c r="F10" s="21">
        <f>IF(E10=MIN($E$5:$E$95),"◄ chọn","")</f>
        <v/>
      </c>
      <c r="H10" s="16" t="inlineStr">
        <is>
          <t>A0</t>
        </is>
      </c>
      <c r="I10" s="16" t="n">
        <v>0.45</v>
      </c>
    </row>
    <row r="11">
      <c r="A11" s="13" t="n">
        <v>0.11</v>
      </c>
      <c r="B11" s="17" t="n">
        <v>0</v>
      </c>
      <c r="C11" s="17" t="n">
        <v>0.6732673267326733</v>
      </c>
      <c r="D11" s="18" t="n">
        <v>0.8238341968911918</v>
      </c>
      <c r="E11" s="20">
        <f>0.75*B11+0.25*C11</f>
        <v/>
      </c>
      <c r="F11" s="21">
        <f>IF(E11=MIN($E$5:$E$95),"◄ chọn","")</f>
        <v/>
      </c>
      <c r="H11" s="16" t="inlineStr">
        <is>
          <t>A1</t>
        </is>
      </c>
      <c r="I11" s="16" t="n">
        <v>0.48</v>
      </c>
    </row>
    <row r="12">
      <c r="A12" s="13" t="n">
        <v>0.12</v>
      </c>
      <c r="B12" s="17" t="n">
        <v>0</v>
      </c>
      <c r="C12" s="17" t="n">
        <v>0.6534653465346535</v>
      </c>
      <c r="D12" s="18" t="n">
        <v>0.828125</v>
      </c>
      <c r="E12" s="20">
        <f>0.75*B12+0.25*C12</f>
        <v/>
      </c>
      <c r="F12" s="21">
        <f>IF(E12=MIN($E$5:$E$95),"◄ chọn","")</f>
        <v/>
      </c>
      <c r="H12" s="16" t="inlineStr">
        <is>
          <t>A2</t>
        </is>
      </c>
      <c r="I12" s="16" t="n">
        <v>0.58</v>
      </c>
    </row>
    <row r="13">
      <c r="A13" s="13" t="n">
        <v>0.13</v>
      </c>
      <c r="B13" s="17" t="n">
        <v>0</v>
      </c>
      <c r="C13" s="17" t="n">
        <v>0.6435643564356436</v>
      </c>
      <c r="D13" s="18" t="n">
        <v>0.8302872062663186</v>
      </c>
      <c r="E13" s="20">
        <f>0.75*B13+0.25*C13</f>
        <v/>
      </c>
      <c r="F13" s="21">
        <f>IF(E13=MIN($E$5:$E$95),"◄ chọn","")</f>
        <v/>
      </c>
      <c r="H13" s="16" t="inlineStr">
        <is>
          <t>A3</t>
        </is>
      </c>
      <c r="I13" s="16" t="n">
        <v>0.47</v>
      </c>
    </row>
    <row r="14">
      <c r="A14" s="13" t="n">
        <v>0.14</v>
      </c>
      <c r="B14" s="17" t="n">
        <v>0</v>
      </c>
      <c r="C14" s="17" t="n">
        <v>0.6336633663366337</v>
      </c>
      <c r="D14" s="18" t="n">
        <v>0.8324607329842932</v>
      </c>
      <c r="E14" s="20">
        <f>0.75*B14+0.25*C14</f>
        <v/>
      </c>
      <c r="F14" s="21">
        <f>IF(E14=MIN($E$5:$E$95),"◄ chọn","")</f>
        <v/>
      </c>
      <c r="H14" s="16" t="inlineStr">
        <is>
          <t>A4</t>
        </is>
      </c>
      <c r="I14" s="16" t="n">
        <v>0.58</v>
      </c>
    </row>
    <row r="15">
      <c r="A15" s="13" t="n">
        <v>0.15</v>
      </c>
      <c r="B15" s="17" t="n">
        <v>0</v>
      </c>
      <c r="C15" s="17" t="n">
        <v>0.6287128712871287</v>
      </c>
      <c r="D15" s="18" t="n">
        <v>0.8335517693315858</v>
      </c>
      <c r="E15" s="20">
        <f>0.75*B15+0.25*C15</f>
        <v/>
      </c>
      <c r="F15" s="21">
        <f>IF(E15=MIN($E$5:$E$95),"◄ chọn","")</f>
        <v/>
      </c>
    </row>
    <row r="16">
      <c r="A16" s="13" t="n">
        <v>0.16</v>
      </c>
      <c r="B16" s="17" t="n">
        <v>0</v>
      </c>
      <c r="C16" s="17" t="n">
        <v>0.6039603960396039</v>
      </c>
      <c r="D16" s="18" t="n">
        <v>0.8390501319261213</v>
      </c>
      <c r="E16" s="20">
        <f>0.75*B16+0.25*C16</f>
        <v/>
      </c>
      <c r="F16" s="21">
        <f>IF(E16=MIN($E$5:$E$95),"◄ chọn","")</f>
        <v/>
      </c>
    </row>
    <row r="17">
      <c r="A17" s="13" t="n">
        <v>0.17</v>
      </c>
      <c r="B17" s="17" t="n">
        <v>0</v>
      </c>
      <c r="C17" s="17" t="n">
        <v>0.5891089108910891</v>
      </c>
      <c r="D17" s="18" t="n">
        <v>0.8423841059602649</v>
      </c>
      <c r="E17" s="20">
        <f>0.75*B17+0.25*C17</f>
        <v/>
      </c>
      <c r="F17" s="21">
        <f>IF(E17=MIN($E$5:$E$95),"◄ chọn","")</f>
        <v/>
      </c>
    </row>
    <row r="18">
      <c r="A18" s="13" t="n">
        <v>0.18</v>
      </c>
      <c r="B18" s="17" t="n">
        <v>0</v>
      </c>
      <c r="C18" s="17" t="n">
        <v>0.5891089108910891</v>
      </c>
      <c r="D18" s="18" t="n">
        <v>0.8423841059602649</v>
      </c>
      <c r="E18" s="20">
        <f>0.75*B18+0.25*C18</f>
        <v/>
      </c>
      <c r="F18" s="21">
        <f>IF(E18=MIN($E$5:$E$95),"◄ chọn","")</f>
        <v/>
      </c>
    </row>
    <row r="19">
      <c r="A19" s="13" t="n">
        <v>0.19</v>
      </c>
      <c r="B19" s="17" t="n">
        <v>0</v>
      </c>
      <c r="C19" s="17" t="n">
        <v>0.5841584158415841</v>
      </c>
      <c r="D19" s="18" t="n">
        <v>0.843501326259947</v>
      </c>
      <c r="E19" s="20">
        <f>0.75*B19+0.25*C19</f>
        <v/>
      </c>
      <c r="F19" s="21">
        <f>IF(E19=MIN($E$5:$E$95),"◄ chọn","")</f>
        <v/>
      </c>
    </row>
    <row r="20">
      <c r="A20" s="13" t="n">
        <v>0.2</v>
      </c>
      <c r="B20" s="17" t="n">
        <v>0</v>
      </c>
      <c r="C20" s="17" t="n">
        <v>0.5841584158415841</v>
      </c>
      <c r="D20" s="18" t="n">
        <v>0.843501326259947</v>
      </c>
      <c r="E20" s="20">
        <f>0.75*B20+0.25*C20</f>
        <v/>
      </c>
      <c r="F20" s="21">
        <f>IF(E20=MIN($E$5:$E$95),"◄ chọn","")</f>
        <v/>
      </c>
    </row>
    <row r="21">
      <c r="A21" s="13" t="n">
        <v>0.21</v>
      </c>
      <c r="B21" s="17" t="n">
        <v>0</v>
      </c>
      <c r="C21" s="17" t="n">
        <v>0.5841584158415841</v>
      </c>
      <c r="D21" s="18" t="n">
        <v>0.843501326259947</v>
      </c>
      <c r="E21" s="20">
        <f>0.75*B21+0.25*C21</f>
        <v/>
      </c>
      <c r="F21" s="21">
        <f>IF(E21=MIN($E$5:$E$95),"◄ chọn","")</f>
        <v/>
      </c>
    </row>
    <row r="22">
      <c r="A22" s="13" t="n">
        <v>0.22</v>
      </c>
      <c r="B22" s="17" t="n">
        <v>0</v>
      </c>
      <c r="C22" s="17" t="n">
        <v>0.5742574257425742</v>
      </c>
      <c r="D22" s="18" t="n">
        <v>0.8457446808510638</v>
      </c>
      <c r="E22" s="20">
        <f>0.75*B22+0.25*C22</f>
        <v/>
      </c>
      <c r="F22" s="21">
        <f>IF(E22=MIN($E$5:$E$95),"◄ chọn","")</f>
        <v/>
      </c>
    </row>
    <row r="23">
      <c r="A23" s="13" t="n">
        <v>0.23</v>
      </c>
      <c r="B23" s="17" t="n">
        <v>0</v>
      </c>
      <c r="C23" s="17" t="n">
        <v>0.5693069306930693</v>
      </c>
      <c r="D23" s="18" t="n">
        <v>0.8468708388814914</v>
      </c>
      <c r="E23" s="20">
        <f>0.75*B23+0.25*C23</f>
        <v/>
      </c>
      <c r="F23" s="21">
        <f>IF(E23=MIN($E$5:$E$95),"◄ chọn","")</f>
        <v/>
      </c>
    </row>
    <row r="24">
      <c r="A24" s="13" t="n">
        <v>0.24</v>
      </c>
      <c r="B24" s="17" t="n">
        <v>0</v>
      </c>
      <c r="C24" s="17" t="n">
        <v>0.5544554455445545</v>
      </c>
      <c r="D24" s="18" t="n">
        <v>0.8502673796791443</v>
      </c>
      <c r="E24" s="20">
        <f>0.75*B24+0.25*C24</f>
        <v/>
      </c>
      <c r="F24" s="21">
        <f>IF(E24=MIN($E$5:$E$95),"◄ chọn","")</f>
        <v/>
      </c>
    </row>
    <row r="25">
      <c r="A25" s="13" t="n">
        <v>0.25</v>
      </c>
      <c r="B25" s="17" t="n">
        <v>0.0031446540880503</v>
      </c>
      <c r="C25" s="17" t="n">
        <v>0.5495049504950495</v>
      </c>
      <c r="D25" s="18" t="n">
        <v>0.8498659517426274</v>
      </c>
      <c r="E25" s="20">
        <f>0.75*B25+0.25*C25</f>
        <v/>
      </c>
      <c r="F25" s="21">
        <f>IF(E25=MIN($E$5:$E$95),"◄ chọn","")</f>
        <v/>
      </c>
    </row>
    <row r="26">
      <c r="A26" s="13" t="n">
        <v>0.26</v>
      </c>
      <c r="B26" s="17" t="n">
        <v>0.0031446540880503</v>
      </c>
      <c r="C26" s="17" t="n">
        <v>0.5445544554455446</v>
      </c>
      <c r="D26" s="18" t="n">
        <v>0.851006711409396</v>
      </c>
      <c r="E26" s="20">
        <f>0.75*B26+0.25*C26</f>
        <v/>
      </c>
      <c r="F26" s="21">
        <f>IF(E26=MIN($E$5:$E$95),"◄ chọn","")</f>
        <v/>
      </c>
    </row>
    <row r="27">
      <c r="A27" s="13" t="n">
        <v>0.27</v>
      </c>
      <c r="B27" s="17" t="n">
        <v>0.0031446540880503</v>
      </c>
      <c r="C27" s="17" t="n">
        <v>0.5297029702970297</v>
      </c>
      <c r="D27" s="18" t="n">
        <v>0.8544474393530997</v>
      </c>
      <c r="E27" s="20">
        <f>0.75*B27+0.25*C27</f>
        <v/>
      </c>
      <c r="F27" s="21">
        <f>IF(E27=MIN($E$5:$E$95),"◄ chọn","")</f>
        <v/>
      </c>
    </row>
    <row r="28">
      <c r="A28" s="13" t="n">
        <v>0.28</v>
      </c>
      <c r="B28" s="17" t="n">
        <v>0.0031446540880503</v>
      </c>
      <c r="C28" s="17" t="n">
        <v>0.5148514851485149</v>
      </c>
      <c r="D28" s="18" t="n">
        <v>0.857916102841678</v>
      </c>
      <c r="E28" s="20">
        <f>0.75*B28+0.25*C28</f>
        <v/>
      </c>
      <c r="F28" s="21">
        <f>IF(E28=MIN($E$5:$E$95),"◄ chọn","")</f>
        <v/>
      </c>
    </row>
    <row r="29">
      <c r="A29" s="13" t="n">
        <v>0.29</v>
      </c>
      <c r="B29" s="17" t="n">
        <v>0.0031446540880503</v>
      </c>
      <c r="C29" s="17" t="n">
        <v>0.5148514851485149</v>
      </c>
      <c r="D29" s="18" t="n">
        <v>0.857916102841678</v>
      </c>
      <c r="E29" s="20">
        <f>0.75*B29+0.25*C29</f>
        <v/>
      </c>
      <c r="F29" s="21">
        <f>IF(E29=MIN($E$5:$E$95),"◄ chọn","")</f>
        <v/>
      </c>
    </row>
    <row r="30">
      <c r="A30" s="13" t="n">
        <v>0.3</v>
      </c>
      <c r="B30" s="17" t="n">
        <v>0.0031446540880503</v>
      </c>
      <c r="C30" s="17" t="n">
        <v>0.504950495049505</v>
      </c>
      <c r="D30" s="18" t="n">
        <v>0.8602442333785617</v>
      </c>
      <c r="E30" s="20">
        <f>0.75*B30+0.25*C30</f>
        <v/>
      </c>
      <c r="F30" s="21">
        <f>IF(E30=MIN($E$5:$E$95),"◄ chọn","")</f>
        <v/>
      </c>
    </row>
    <row r="31">
      <c r="A31" s="13" t="n">
        <v>0.31</v>
      </c>
      <c r="B31" s="17" t="n">
        <v>0.0031446540880503</v>
      </c>
      <c r="C31" s="17" t="n">
        <v>0.4900990099009901</v>
      </c>
      <c r="D31" s="18" t="n">
        <v>0.8637602179836512</v>
      </c>
      <c r="E31" s="20">
        <f>0.75*B31+0.25*C31</f>
        <v/>
      </c>
      <c r="F31" s="21">
        <f>IF(E31=MIN($E$5:$E$95),"◄ chọn","")</f>
        <v/>
      </c>
    </row>
    <row r="32">
      <c r="A32" s="13" t="n">
        <v>0.32</v>
      </c>
      <c r="B32" s="17" t="n">
        <v>0.0031446540880503</v>
      </c>
      <c r="C32" s="17" t="n">
        <v>0.4702970297029702</v>
      </c>
      <c r="D32" s="18" t="n">
        <v>0.8684931506849315</v>
      </c>
      <c r="E32" s="20">
        <f>0.75*B32+0.25*C32</f>
        <v/>
      </c>
      <c r="F32" s="21">
        <f>IF(E32=MIN($E$5:$E$95),"◄ chọn","")</f>
        <v/>
      </c>
    </row>
    <row r="33">
      <c r="A33" s="13" t="n">
        <v>0.33</v>
      </c>
      <c r="B33" s="17" t="n">
        <v>0.0031446540880503</v>
      </c>
      <c r="C33" s="17" t="n">
        <v>0.4455445544554455</v>
      </c>
      <c r="D33" s="18" t="n">
        <v>0.8744827586206897</v>
      </c>
      <c r="E33" s="20">
        <f>0.75*B33+0.25*C33</f>
        <v/>
      </c>
      <c r="F33" s="21">
        <f>IF(E33=MIN($E$5:$E$95),"◄ chọn","")</f>
        <v/>
      </c>
    </row>
    <row r="34">
      <c r="A34" s="13" t="n">
        <v>0.34</v>
      </c>
      <c r="B34" s="17" t="n">
        <v>0.0031446540880503</v>
      </c>
      <c r="C34" s="17" t="n">
        <v>0.4356435643564356</v>
      </c>
      <c r="D34" s="18" t="n">
        <v>0.8769017980636238</v>
      </c>
      <c r="E34" s="20">
        <f>0.75*B34+0.25*C34</f>
        <v/>
      </c>
      <c r="F34" s="21">
        <f>IF(E34=MIN($E$5:$E$95),"◄ chọn","")</f>
        <v/>
      </c>
    </row>
    <row r="35">
      <c r="A35" s="13" t="n">
        <v>0.35</v>
      </c>
      <c r="B35" s="17" t="n">
        <v>0.0031446540880503</v>
      </c>
      <c r="C35" s="17" t="n">
        <v>0.4356435643564356</v>
      </c>
      <c r="D35" s="18" t="n">
        <v>0.8769017980636238</v>
      </c>
      <c r="E35" s="20">
        <f>0.75*B35+0.25*C35</f>
        <v/>
      </c>
      <c r="F35" s="21">
        <f>IF(E35=MIN($E$5:$E$95),"◄ chọn","")</f>
        <v/>
      </c>
    </row>
    <row r="36">
      <c r="A36" s="13" t="n">
        <v>0.36</v>
      </c>
      <c r="B36" s="17" t="n">
        <v>0.0062893081761006</v>
      </c>
      <c r="C36" s="17" t="n">
        <v>0.4306930693069307</v>
      </c>
      <c r="D36" s="18" t="n">
        <v>0.8765603328710125</v>
      </c>
      <c r="E36" s="20">
        <f>0.75*B36+0.25*C36</f>
        <v/>
      </c>
      <c r="F36" s="21">
        <f>IF(E36=MIN($E$5:$E$95),"◄ chọn","")</f>
        <v/>
      </c>
    </row>
    <row r="37">
      <c r="A37" s="13" t="n">
        <v>0.37</v>
      </c>
      <c r="B37" s="17" t="n">
        <v>0.0062893081761006</v>
      </c>
      <c r="C37" s="17" t="n">
        <v>0.4257425742574257</v>
      </c>
      <c r="D37" s="18" t="n">
        <v>0.8777777777777778</v>
      </c>
      <c r="E37" s="20">
        <f>0.75*B37+0.25*C37</f>
        <v/>
      </c>
      <c r="F37" s="21">
        <f>IF(E37=MIN($E$5:$E$95),"◄ chọn","")</f>
        <v/>
      </c>
    </row>
    <row r="38">
      <c r="A38" s="13" t="n">
        <v>0.38</v>
      </c>
      <c r="B38" s="17" t="n">
        <v>0.0062893081761006</v>
      </c>
      <c r="C38" s="17" t="n">
        <v>0.4059405940594059</v>
      </c>
      <c r="D38" s="18" t="n">
        <v>0.88268156424581</v>
      </c>
      <c r="E38" s="20">
        <f>0.75*B38+0.25*C38</f>
        <v/>
      </c>
      <c r="F38" s="21">
        <f>IF(E38=MIN($E$5:$E$95),"◄ chọn","")</f>
        <v/>
      </c>
    </row>
    <row r="39">
      <c r="A39" s="13" t="n">
        <v>0.39</v>
      </c>
      <c r="B39" s="17" t="n">
        <v>0.0062893081761006</v>
      </c>
      <c r="C39" s="17" t="n">
        <v>0.3910891089108911</v>
      </c>
      <c r="D39" s="18" t="n">
        <v>0.8863955119214586</v>
      </c>
      <c r="E39" s="20">
        <f>0.75*B39+0.25*C39</f>
        <v/>
      </c>
      <c r="F39" s="21">
        <f>IF(E39=MIN($E$5:$E$95),"◄ chọn","")</f>
        <v/>
      </c>
    </row>
    <row r="40">
      <c r="A40" s="13" t="n">
        <v>0.4</v>
      </c>
      <c r="B40" s="17" t="n">
        <v>0.0062893081761006</v>
      </c>
      <c r="C40" s="17" t="n">
        <v>0.3861386138613861</v>
      </c>
      <c r="D40" s="18" t="n">
        <v>0.8876404494382022</v>
      </c>
      <c r="E40" s="20">
        <f>0.75*B40+0.25*C40</f>
        <v/>
      </c>
      <c r="F40" s="21">
        <f>IF(E40=MIN($E$5:$E$95),"◄ chọn","")</f>
        <v/>
      </c>
    </row>
    <row r="41">
      <c r="A41" s="13" t="n">
        <v>0.41</v>
      </c>
      <c r="B41" s="17" t="n">
        <v>0.0062893081761006</v>
      </c>
      <c r="C41" s="17" t="n">
        <v>0.3712871287128713</v>
      </c>
      <c r="D41" s="18" t="n">
        <v>0.8913963328631875</v>
      </c>
      <c r="E41" s="20">
        <f>0.75*B41+0.25*C41</f>
        <v/>
      </c>
      <c r="F41" s="21">
        <f>IF(E41=MIN($E$5:$E$95),"◄ chọn","")</f>
        <v/>
      </c>
    </row>
    <row r="42">
      <c r="A42" s="13" t="n">
        <v>0.42</v>
      </c>
      <c r="B42" s="17" t="n">
        <v>0.0062893081761006</v>
      </c>
      <c r="C42" s="17" t="n">
        <v>0.3564356435643564</v>
      </c>
      <c r="D42" s="18" t="n">
        <v>0.8951841359773371</v>
      </c>
      <c r="E42" s="20">
        <f>0.75*B42+0.25*C42</f>
        <v/>
      </c>
      <c r="F42" s="21">
        <f>IF(E42=MIN($E$5:$E$95),"◄ chọn","")</f>
        <v/>
      </c>
    </row>
    <row r="43">
      <c r="A43" s="13" t="n">
        <v>0.43</v>
      </c>
      <c r="B43" s="17" t="n">
        <v>0.0062893081761006</v>
      </c>
      <c r="C43" s="17" t="n">
        <v>0.3267326732673267</v>
      </c>
      <c r="D43" s="18" t="n">
        <v>0.9028571428571428</v>
      </c>
      <c r="E43" s="20">
        <f>0.75*B43+0.25*C43</f>
        <v/>
      </c>
      <c r="F43" s="21">
        <f>IF(E43=MIN($E$5:$E$95),"◄ chọn","")</f>
        <v/>
      </c>
    </row>
    <row r="44">
      <c r="A44" s="13" t="n">
        <v>0.44</v>
      </c>
      <c r="B44" s="17" t="n">
        <v>0.0062893081761006</v>
      </c>
      <c r="C44" s="17" t="n">
        <v>0.297029702970297</v>
      </c>
      <c r="D44" s="18" t="n">
        <v>0.9106628242074928</v>
      </c>
      <c r="E44" s="20">
        <f>0.75*B44+0.25*C44</f>
        <v/>
      </c>
      <c r="F44" s="21">
        <f>IF(E44=MIN($E$5:$E$95),"◄ chọn","")</f>
        <v/>
      </c>
    </row>
    <row r="45">
      <c r="A45" s="13" t="n">
        <v>0.45</v>
      </c>
      <c r="B45" s="17" t="n">
        <v>0.0062893081761006</v>
      </c>
      <c r="C45" s="17" t="n">
        <v>0.292079207920792</v>
      </c>
      <c r="D45" s="18" t="n">
        <v>0.911976911976912</v>
      </c>
      <c r="E45" s="20">
        <f>0.75*B45+0.25*C45</f>
        <v/>
      </c>
      <c r="F45" s="21">
        <f>IF(E45=MIN($E$5:$E$95),"◄ chọn","")</f>
        <v/>
      </c>
    </row>
    <row r="46">
      <c r="A46" s="13" t="n">
        <v>0.46</v>
      </c>
      <c r="B46" s="17" t="n">
        <v>0.0062893081761006</v>
      </c>
      <c r="C46" s="17" t="n">
        <v>0.2623762376237624</v>
      </c>
      <c r="D46" s="18" t="n">
        <v>0.9199417758369725</v>
      </c>
      <c r="E46" s="20">
        <f>0.75*B46+0.25*C46</f>
        <v/>
      </c>
      <c r="F46" s="21">
        <f>IF(E46=MIN($E$5:$E$95),"◄ chọn","")</f>
        <v/>
      </c>
    </row>
    <row r="47">
      <c r="A47" s="13" t="n">
        <v>0.47</v>
      </c>
      <c r="B47" s="17" t="n">
        <v>0.0062893081761006</v>
      </c>
      <c r="C47" s="17" t="n">
        <v>0.2574257425742574</v>
      </c>
      <c r="D47" s="18" t="n">
        <v>0.9212827988338192</v>
      </c>
      <c r="E47" s="20">
        <f>0.75*B47+0.25*C47</f>
        <v/>
      </c>
      <c r="F47" s="21">
        <f>IF(E47=MIN($E$5:$E$95),"◄ chọn","")</f>
        <v/>
      </c>
    </row>
    <row r="48">
      <c r="A48" s="13" t="n">
        <v>0.48</v>
      </c>
      <c r="B48" s="17" t="n">
        <v>0.0062893081761006</v>
      </c>
      <c r="C48" s="17" t="n">
        <v>0.2475247524752475</v>
      </c>
      <c r="D48" s="18" t="n">
        <v>0.9239766081871345</v>
      </c>
      <c r="E48" s="20">
        <f>0.75*B48+0.25*C48</f>
        <v/>
      </c>
      <c r="F48" s="21">
        <f>IF(E48=MIN($E$5:$E$95),"◄ chọn","")</f>
        <v/>
      </c>
    </row>
    <row r="49">
      <c r="A49" s="13" t="n">
        <v>0.49</v>
      </c>
      <c r="B49" s="17" t="n">
        <v>0.0062893081761006</v>
      </c>
      <c r="C49" s="17" t="n">
        <v>0.2277227722772277</v>
      </c>
      <c r="D49" s="18" t="n">
        <v>0.9294117647058824</v>
      </c>
      <c r="E49" s="20">
        <f>0.75*B49+0.25*C49</f>
        <v/>
      </c>
      <c r="F49" s="21">
        <f>IF(E49=MIN($E$5:$E$95),"◄ chọn","")</f>
        <v/>
      </c>
    </row>
    <row r="50">
      <c r="A50" s="13" t="n">
        <v>0.5</v>
      </c>
      <c r="B50" s="17" t="n">
        <v>0.0094339622641509</v>
      </c>
      <c r="C50" s="17" t="n">
        <v>0.2178217821782178</v>
      </c>
      <c r="D50" s="18" t="n">
        <v>0.930576070901034</v>
      </c>
      <c r="E50" s="20">
        <f>0.75*B50+0.25*C50</f>
        <v/>
      </c>
      <c r="F50" s="21">
        <f>IF(E50=MIN($E$5:$E$95),"◄ chọn","")</f>
        <v/>
      </c>
    </row>
    <row r="51">
      <c r="A51" s="13" t="n">
        <v>0.51</v>
      </c>
      <c r="B51" s="17" t="n">
        <v>0.0157232704402515</v>
      </c>
      <c r="C51" s="17" t="n">
        <v>0.2178217821782178</v>
      </c>
      <c r="D51" s="18" t="n">
        <v>0.9274074074074076</v>
      </c>
      <c r="E51" s="20">
        <f>0.75*B51+0.25*C51</f>
        <v/>
      </c>
      <c r="F51" s="21">
        <f>IF(E51=MIN($E$5:$E$95),"◄ chọn","")</f>
        <v/>
      </c>
    </row>
    <row r="52">
      <c r="A52" s="13" t="n">
        <v>0.52</v>
      </c>
      <c r="B52" s="17" t="n">
        <v>0.0157232704402515</v>
      </c>
      <c r="C52" s="17" t="n">
        <v>0.2178217821782178</v>
      </c>
      <c r="D52" s="18" t="n">
        <v>0.9274074074074076</v>
      </c>
      <c r="E52" s="20">
        <f>0.75*B52+0.25*C52</f>
        <v/>
      </c>
      <c r="F52" s="21">
        <f>IF(E52=MIN($E$5:$E$95),"◄ chọn","")</f>
        <v/>
      </c>
    </row>
    <row r="53">
      <c r="A53" s="13" t="n">
        <v>0.53</v>
      </c>
      <c r="B53" s="17" t="n">
        <v>0.0157232704402515</v>
      </c>
      <c r="C53" s="17" t="n">
        <v>0.193069306930693</v>
      </c>
      <c r="D53" s="18" t="n">
        <v>0.9343283582089552</v>
      </c>
      <c r="E53" s="20">
        <f>0.75*B53+0.25*C53</f>
        <v/>
      </c>
      <c r="F53" s="21">
        <f>IF(E53=MIN($E$5:$E$95),"◄ chọn","")</f>
        <v/>
      </c>
    </row>
    <row r="54">
      <c r="A54" s="13" t="n">
        <v>0.54</v>
      </c>
      <c r="B54" s="17" t="n">
        <v>0.0188679245283018</v>
      </c>
      <c r="C54" s="17" t="n">
        <v>0.1782178217821782</v>
      </c>
      <c r="D54" s="18" t="n">
        <v>0.9369369369369368</v>
      </c>
      <c r="E54" s="20">
        <f>0.75*B54+0.25*C54</f>
        <v/>
      </c>
      <c r="F54" s="21">
        <f>IF(E54=MIN($E$5:$E$95),"◄ chọn","")</f>
        <v/>
      </c>
    </row>
    <row r="55">
      <c r="A55" s="13" t="n">
        <v>0.55</v>
      </c>
      <c r="B55" s="17" t="n">
        <v>0.0220125786163522</v>
      </c>
      <c r="C55" s="17" t="n">
        <v>0.1732673267326732</v>
      </c>
      <c r="D55" s="18" t="n">
        <v>0.9367469879518072</v>
      </c>
      <c r="E55" s="20">
        <f>0.75*B55+0.25*C55</f>
        <v/>
      </c>
      <c r="F55" s="21">
        <f>IF(E55=MIN($E$5:$E$95),"◄ chọn","")</f>
        <v/>
      </c>
    </row>
    <row r="56">
      <c r="A56" s="13" t="n">
        <v>0.5600000000000001</v>
      </c>
      <c r="B56" s="17" t="n">
        <v>0.0220125786163522</v>
      </c>
      <c r="C56" s="17" t="n">
        <v>0.1633663366336633</v>
      </c>
      <c r="D56" s="18" t="n">
        <v>0.9395770392749244</v>
      </c>
      <c r="E56" s="20">
        <f>0.75*B56+0.25*C56</f>
        <v/>
      </c>
      <c r="F56" s="21">
        <f>IF(E56=MIN($E$5:$E$95),"◄ chọn","")</f>
        <v/>
      </c>
    </row>
    <row r="57">
      <c r="A57" s="13" t="n">
        <v>0.57</v>
      </c>
      <c r="B57" s="17" t="n">
        <v>0.0251572327044025</v>
      </c>
      <c r="C57" s="17" t="n">
        <v>0.1485148514851485</v>
      </c>
      <c r="D57" s="18" t="n">
        <v>0.9422492401215804</v>
      </c>
      <c r="E57" s="20">
        <f>0.75*B57+0.25*C57</f>
        <v/>
      </c>
      <c r="F57" s="21">
        <f>IF(E57=MIN($E$5:$E$95),"◄ chọn","")</f>
        <v/>
      </c>
    </row>
    <row r="58">
      <c r="A58" s="13" t="n">
        <v>0.58</v>
      </c>
      <c r="B58" s="17" t="n">
        <v>0.0283018867924528</v>
      </c>
      <c r="C58" s="17" t="n">
        <v>0.1386138613861386</v>
      </c>
      <c r="D58" s="18" t="n">
        <v>0.9435114503816794</v>
      </c>
      <c r="E58" s="20">
        <f>0.75*B58+0.25*C58</f>
        <v/>
      </c>
      <c r="F58" s="21">
        <f>IF(E58=MIN($E$5:$E$95),"◄ chọn","")</f>
        <v/>
      </c>
    </row>
    <row r="59">
      <c r="A59" s="13" t="n">
        <v>0.59</v>
      </c>
      <c r="B59" s="17" t="n">
        <v>0.0345911949685534</v>
      </c>
      <c r="C59" s="17" t="n">
        <v>0.1386138613861386</v>
      </c>
      <c r="D59" s="18" t="n">
        <v>0.9402756508422664</v>
      </c>
      <c r="E59" s="20">
        <f>0.75*B59+0.25*C59</f>
        <v/>
      </c>
      <c r="F59" s="21">
        <f>IF(E59=MIN($E$5:$E$95),"◄ chọn","")</f>
        <v/>
      </c>
    </row>
    <row r="60">
      <c r="A60" s="13" t="n">
        <v>0.6</v>
      </c>
      <c r="B60" s="17" t="n">
        <v>0.0377358490566037</v>
      </c>
      <c r="C60" s="17" t="n">
        <v>0.1336633663366336</v>
      </c>
      <c r="D60" s="18" t="n">
        <v>0.9400921658986175</v>
      </c>
      <c r="E60" s="20">
        <f>0.75*B60+0.25*C60</f>
        <v/>
      </c>
      <c r="F60" s="21">
        <f>IF(E60=MIN($E$5:$E$95),"◄ chọn","")</f>
        <v/>
      </c>
    </row>
    <row r="61">
      <c r="A61" s="13" t="n">
        <v>0.61</v>
      </c>
      <c r="B61" s="17" t="n">
        <v>0.040880503144654</v>
      </c>
      <c r="C61" s="17" t="n">
        <v>0.1188118811881188</v>
      </c>
      <c r="D61" s="18" t="n">
        <v>0.9428129829984544</v>
      </c>
      <c r="E61" s="20">
        <f>0.75*B61+0.25*C61</f>
        <v/>
      </c>
      <c r="F61" s="21">
        <f>IF(E61=MIN($E$5:$E$95),"◄ chọn","")</f>
        <v/>
      </c>
    </row>
    <row r="62">
      <c r="A62" s="13" t="n">
        <v>0.62</v>
      </c>
      <c r="B62" s="17" t="n">
        <v>0.040880503144654</v>
      </c>
      <c r="C62" s="17" t="n">
        <v>0.1138613861386138</v>
      </c>
      <c r="D62" s="18" t="n">
        <v>0.9442724458204336</v>
      </c>
      <c r="E62" s="20">
        <f>0.75*B62+0.25*C62</f>
        <v/>
      </c>
      <c r="F62" s="21">
        <f>IF(E62=MIN($E$5:$E$95),"◄ chọn","")</f>
        <v/>
      </c>
    </row>
    <row r="63">
      <c r="A63" s="13" t="n">
        <v>0.63</v>
      </c>
      <c r="B63" s="17" t="n">
        <v>0.0534591194968553</v>
      </c>
      <c r="C63" s="17" t="n">
        <v>0.1039603960396039</v>
      </c>
      <c r="D63" s="18" t="n">
        <v>0.940625</v>
      </c>
      <c r="E63" s="20">
        <f>0.75*B63+0.25*C63</f>
        <v/>
      </c>
      <c r="F63" s="21">
        <f>IF(E63=MIN($E$5:$E$95),"◄ chọn","")</f>
        <v/>
      </c>
    </row>
    <row r="64">
      <c r="A64" s="13" t="n">
        <v>0.64</v>
      </c>
      <c r="B64" s="17" t="n">
        <v>0.06289308176100621</v>
      </c>
      <c r="C64" s="17" t="n">
        <v>0.0891089108910891</v>
      </c>
      <c r="D64" s="18" t="n">
        <v>0.94006309148265</v>
      </c>
      <c r="E64" s="20">
        <f>0.75*B64+0.25*C64</f>
        <v/>
      </c>
      <c r="F64" s="21">
        <f>IF(E64=MIN($E$5:$E$95),"◄ chọn","")</f>
        <v/>
      </c>
    </row>
    <row r="65">
      <c r="A65" s="13" t="n">
        <v>0.65</v>
      </c>
      <c r="B65" s="17" t="n">
        <v>0.0691823899371069</v>
      </c>
      <c r="C65" s="17" t="n">
        <v>0.08415841584158409</v>
      </c>
      <c r="D65" s="18" t="n">
        <v>0.9381933438985736</v>
      </c>
      <c r="E65" s="20">
        <f>0.75*B65+0.25*C65</f>
        <v/>
      </c>
      <c r="F65" s="21">
        <f>IF(E65=MIN($E$5:$E$95),"◄ chọn","")</f>
        <v/>
      </c>
    </row>
    <row r="66">
      <c r="A66" s="13" t="n">
        <v>0.66</v>
      </c>
      <c r="B66" s="17" t="n">
        <v>0.0723270440251572</v>
      </c>
      <c r="C66" s="17" t="n">
        <v>0.0693069306930693</v>
      </c>
      <c r="D66" s="18" t="n">
        <v>0.9409888357256778</v>
      </c>
      <c r="E66" s="20">
        <f>0.75*B66+0.25*C66</f>
        <v/>
      </c>
      <c r="F66" s="21">
        <f>IF(E66=MIN($E$5:$E$95),"◄ chọn","")</f>
        <v/>
      </c>
    </row>
    <row r="67">
      <c r="A67" s="13" t="n">
        <v>0.67</v>
      </c>
      <c r="B67" s="17" t="n">
        <v>0.0754716981132075</v>
      </c>
      <c r="C67" s="17" t="n">
        <v>0.0643564356435643</v>
      </c>
      <c r="D67" s="18" t="n">
        <v>0.9408</v>
      </c>
      <c r="E67" s="20">
        <f>0.75*B67+0.25*C67</f>
        <v/>
      </c>
      <c r="F67" s="21">
        <f>IF(E67=MIN($E$5:$E$95),"◄ chọn","")</f>
        <v/>
      </c>
    </row>
    <row r="68">
      <c r="A68" s="13" t="n">
        <v>0.68</v>
      </c>
      <c r="B68" s="17" t="n">
        <v>0.0849056603773584</v>
      </c>
      <c r="C68" s="17" t="n">
        <v>0.0643564356435643</v>
      </c>
      <c r="D68" s="18" t="n">
        <v>0.9356913183279744</v>
      </c>
      <c r="E68" s="20">
        <f>0.75*B68+0.25*C68</f>
        <v/>
      </c>
      <c r="F68" s="21">
        <f>IF(E68=MIN($E$5:$E$95),"◄ chọn","")</f>
        <v/>
      </c>
    </row>
    <row r="69">
      <c r="A69" s="13" t="n">
        <v>0.6899999999999999</v>
      </c>
      <c r="B69" s="17" t="n">
        <v>0.0911949685534591</v>
      </c>
      <c r="C69" s="17" t="n">
        <v>0.0643564356435643</v>
      </c>
      <c r="D69" s="18" t="n">
        <v>0.932258064516129</v>
      </c>
      <c r="E69" s="20">
        <f>0.75*B69+0.25*C69</f>
        <v/>
      </c>
      <c r="F69" s="21">
        <f>IF(E69=MIN($E$5:$E$95),"◄ chọn","")</f>
        <v/>
      </c>
    </row>
    <row r="70">
      <c r="A70" s="13" t="n">
        <v>0.7</v>
      </c>
      <c r="B70" s="17" t="n">
        <v>0.0974842767295597</v>
      </c>
      <c r="C70" s="17" t="n">
        <v>0.0643564356435643</v>
      </c>
      <c r="D70" s="18" t="n">
        <v>0.9288025889967636</v>
      </c>
      <c r="E70" s="20">
        <f>0.75*B70+0.25*C70</f>
        <v/>
      </c>
      <c r="F70" s="21">
        <f>IF(E70=MIN($E$5:$E$95),"◄ chọn","")</f>
        <v/>
      </c>
    </row>
    <row r="71">
      <c r="A71" s="13" t="n">
        <v>0.71</v>
      </c>
      <c r="B71" s="17" t="n">
        <v>0.0974842767295597</v>
      </c>
      <c r="C71" s="17" t="n">
        <v>0.0643564356435643</v>
      </c>
      <c r="D71" s="18" t="n">
        <v>0.9288025889967636</v>
      </c>
      <c r="E71" s="20">
        <f>0.75*B71+0.25*C71</f>
        <v/>
      </c>
      <c r="F71" s="21">
        <f>IF(E71=MIN($E$5:$E$95),"◄ chọn","")</f>
        <v/>
      </c>
    </row>
    <row r="72">
      <c r="A72" s="13" t="n">
        <v>0.72</v>
      </c>
      <c r="B72" s="17" t="n">
        <v>0.1069182389937107</v>
      </c>
      <c r="C72" s="17" t="n">
        <v>0.0643564356435643</v>
      </c>
      <c r="D72" s="18" t="n">
        <v>0.9235772357723576</v>
      </c>
      <c r="E72" s="20">
        <f>0.75*B72+0.25*C72</f>
        <v/>
      </c>
      <c r="F72" s="21">
        <f>IF(E72=MIN($E$5:$E$95),"◄ chọn","")</f>
        <v/>
      </c>
    </row>
    <row r="73">
      <c r="A73" s="13" t="n">
        <v>0.73</v>
      </c>
      <c r="B73" s="17" t="n">
        <v>0.1163522012578616</v>
      </c>
      <c r="C73" s="17" t="n">
        <v>0.0643564356435643</v>
      </c>
      <c r="D73" s="18" t="n">
        <v>0.9183006535947712</v>
      </c>
      <c r="E73" s="20">
        <f>0.75*B73+0.25*C73</f>
        <v/>
      </c>
      <c r="F73" s="21">
        <f>IF(E73=MIN($E$5:$E$95),"◄ chọn","")</f>
        <v/>
      </c>
    </row>
    <row r="74">
      <c r="A74" s="13" t="n">
        <v>0.74</v>
      </c>
      <c r="B74" s="17" t="n">
        <v>0.1194968553459119</v>
      </c>
      <c r="C74" s="17" t="n">
        <v>0.0594059405940594</v>
      </c>
      <c r="D74" s="18" t="n">
        <v>0.918032786885246</v>
      </c>
      <c r="E74" s="20">
        <f>0.75*B74+0.25*C74</f>
        <v/>
      </c>
      <c r="F74" s="21">
        <f>IF(E74=MIN($E$5:$E$95),"◄ chọn","")</f>
        <v/>
      </c>
    </row>
    <row r="75">
      <c r="A75" s="13" t="n">
        <v>0.75</v>
      </c>
      <c r="B75" s="17" t="n">
        <v>0.1257861635220125</v>
      </c>
      <c r="C75" s="17" t="n">
        <v>0.0594059405940594</v>
      </c>
      <c r="D75" s="18" t="n">
        <v>0.9144736842105264</v>
      </c>
      <c r="E75" s="20">
        <f>0.75*B75+0.25*C75</f>
        <v/>
      </c>
      <c r="F75" s="21">
        <f>IF(E75=MIN($E$5:$E$95),"◄ chọn","")</f>
        <v/>
      </c>
    </row>
    <row r="76">
      <c r="A76" s="13" t="n">
        <v>0.76</v>
      </c>
      <c r="B76" s="17" t="n">
        <v>0.1320754716981132</v>
      </c>
      <c r="C76" s="17" t="n">
        <v>0.0544554455445544</v>
      </c>
      <c r="D76" s="18" t="n">
        <v>0.912396694214876</v>
      </c>
      <c r="E76" s="20">
        <f>0.75*B76+0.25*C76</f>
        <v/>
      </c>
      <c r="F76" s="21">
        <f>IF(E76=MIN($E$5:$E$95),"◄ chọn","")</f>
        <v/>
      </c>
    </row>
    <row r="77">
      <c r="A77" s="13" t="n">
        <v>0.77</v>
      </c>
      <c r="B77" s="17" t="n">
        <v>0.1415094339622641</v>
      </c>
      <c r="C77" s="17" t="n">
        <v>0.0495049504950495</v>
      </c>
      <c r="D77" s="18" t="n">
        <v>0.908485856905158</v>
      </c>
      <c r="E77" s="20">
        <f>0.75*B77+0.25*C77</f>
        <v/>
      </c>
      <c r="F77" s="21">
        <f>IF(E77=MIN($E$5:$E$95),"◄ chọn","")</f>
        <v/>
      </c>
    </row>
    <row r="78">
      <c r="A78" s="13" t="n">
        <v>0.78</v>
      </c>
      <c r="B78" s="17" t="n">
        <v>0.1509433962264151</v>
      </c>
      <c r="C78" s="17" t="n">
        <v>0.0445544554455445</v>
      </c>
      <c r="D78" s="18" t="n">
        <v>0.9045226130653268</v>
      </c>
      <c r="E78" s="20">
        <f>0.75*B78+0.25*C78</f>
        <v/>
      </c>
      <c r="F78" s="21">
        <f>IF(E78=MIN($E$5:$E$95),"◄ chọn","")</f>
        <v/>
      </c>
    </row>
    <row r="79">
      <c r="A79" s="13" t="n">
        <v>0.79</v>
      </c>
      <c r="B79" s="17" t="n">
        <v>0.1666666666666666</v>
      </c>
      <c r="C79" s="17" t="n">
        <v>0.0445544554455445</v>
      </c>
      <c r="D79" s="18" t="n">
        <v>0.8952702702702703</v>
      </c>
      <c r="E79" s="20">
        <f>0.75*B79+0.25*C79</f>
        <v/>
      </c>
      <c r="F79" s="21">
        <f>IF(E79=MIN($E$5:$E$95),"◄ chọn","")</f>
        <v/>
      </c>
    </row>
    <row r="80">
      <c r="A80" s="13" t="n">
        <v>0.8</v>
      </c>
      <c r="B80" s="17" t="n">
        <v>0.1761006289308176</v>
      </c>
      <c r="C80" s="17" t="n">
        <v>0.0445544554455445</v>
      </c>
      <c r="D80" s="18" t="n">
        <v>0.8896434634974533</v>
      </c>
      <c r="E80" s="20">
        <f>0.75*B80+0.25*C80</f>
        <v/>
      </c>
      <c r="F80" s="21">
        <f>IF(E80=MIN($E$5:$E$95),"◄ chọn","")</f>
        <v/>
      </c>
    </row>
    <row r="81">
      <c r="A81" s="13" t="n">
        <v>0.8100000000000001</v>
      </c>
      <c r="B81" s="17" t="n">
        <v>0.1886792452830188</v>
      </c>
      <c r="C81" s="17" t="n">
        <v>0.0396039603960396</v>
      </c>
      <c r="D81" s="18" t="n">
        <v>0.8835616438356164</v>
      </c>
      <c r="E81" s="20">
        <f>0.75*B81+0.25*C81</f>
        <v/>
      </c>
      <c r="F81" s="21">
        <f>IF(E81=MIN($E$5:$E$95),"◄ chọn","")</f>
        <v/>
      </c>
    </row>
    <row r="82">
      <c r="A82" s="13" t="n">
        <v>0.82</v>
      </c>
      <c r="B82" s="17" t="n">
        <v>0.1949685534591195</v>
      </c>
      <c r="C82" s="17" t="n">
        <v>0.0297029702970297</v>
      </c>
      <c r="D82" s="18" t="n">
        <v>0.8827586206896552</v>
      </c>
      <c r="E82" s="20">
        <f>0.75*B82+0.25*C82</f>
        <v/>
      </c>
      <c r="F82" s="21">
        <f>IF(E82=MIN($E$5:$E$95),"◄ chọn","")</f>
        <v/>
      </c>
    </row>
    <row r="83">
      <c r="A83" s="13" t="n">
        <v>0.83</v>
      </c>
      <c r="B83" s="17" t="n">
        <v>0.2044025157232704</v>
      </c>
      <c r="C83" s="17" t="n">
        <v>0.0247524752475247</v>
      </c>
      <c r="D83" s="18" t="n">
        <v>0.8784722222222222</v>
      </c>
      <c r="E83" s="20">
        <f>0.75*B83+0.25*C83</f>
        <v/>
      </c>
      <c r="F83" s="21">
        <f>IF(E83=MIN($E$5:$E$95),"◄ chọn","")</f>
        <v/>
      </c>
    </row>
    <row r="84">
      <c r="A84" s="13" t="n">
        <v>0.84</v>
      </c>
      <c r="B84" s="17" t="n">
        <v>0.2138364779874214</v>
      </c>
      <c r="C84" s="17" t="n">
        <v>0.0247524752475247</v>
      </c>
      <c r="D84" s="18" t="n">
        <v>0.8726003490401396</v>
      </c>
      <c r="E84" s="20">
        <f>0.75*B84+0.25*C84</f>
        <v/>
      </c>
      <c r="F84" s="21">
        <f>IF(E84=MIN($E$5:$E$95),"◄ chọn","")</f>
        <v/>
      </c>
    </row>
    <row r="85">
      <c r="A85" s="13" t="n">
        <v>0.85</v>
      </c>
      <c r="B85" s="17" t="n">
        <v>0.220125786163522</v>
      </c>
      <c r="C85" s="17" t="n">
        <v>0.0247524752475247</v>
      </c>
      <c r="D85" s="18" t="n">
        <v>0.8686514886164624</v>
      </c>
      <c r="E85" s="20">
        <f>0.75*B85+0.25*C85</f>
        <v/>
      </c>
      <c r="F85" s="21">
        <f>IF(E85=MIN($E$5:$E$95),"◄ chọn","")</f>
        <v/>
      </c>
    </row>
    <row r="86">
      <c r="A86" s="13" t="n">
        <v>0.86</v>
      </c>
      <c r="B86" s="17" t="n">
        <v>0.2389937106918239</v>
      </c>
      <c r="C86" s="17" t="n">
        <v>0.0247524752475247</v>
      </c>
      <c r="D86" s="18" t="n">
        <v>0.856637168141593</v>
      </c>
      <c r="E86" s="20">
        <f>0.75*B86+0.25*C86</f>
        <v/>
      </c>
      <c r="F86" s="21">
        <f>IF(E86=MIN($E$5:$E$95),"◄ chọn","")</f>
        <v/>
      </c>
    </row>
    <row r="87">
      <c r="A87" s="13" t="n">
        <v>0.87</v>
      </c>
      <c r="B87" s="17" t="n">
        <v>0.2578616352201258</v>
      </c>
      <c r="C87" s="17" t="n">
        <v>0.0247524752475247</v>
      </c>
      <c r="D87" s="18" t="n">
        <v>0.8443649373881932</v>
      </c>
      <c r="E87" s="20">
        <f>0.75*B87+0.25*C87</f>
        <v/>
      </c>
      <c r="F87" s="21">
        <f>IF(E87=MIN($E$5:$E$95),"◄ chọn","")</f>
        <v/>
      </c>
    </row>
    <row r="88">
      <c r="A88" s="13" t="n">
        <v>0.88</v>
      </c>
      <c r="B88" s="17" t="n">
        <v>0.270440251572327</v>
      </c>
      <c r="C88" s="17" t="n">
        <v>0.0198019801980198</v>
      </c>
      <c r="D88" s="18" t="n">
        <v>0.8375451263537906</v>
      </c>
      <c r="E88" s="20">
        <f>0.75*B88+0.25*C88</f>
        <v/>
      </c>
      <c r="F88" s="21">
        <f>IF(E88=MIN($E$5:$E$95),"◄ chọn","")</f>
        <v/>
      </c>
    </row>
    <row r="89">
      <c r="A89" s="13" t="n">
        <v>0.89</v>
      </c>
      <c r="B89" s="17" t="n">
        <v>0.2767295597484276</v>
      </c>
      <c r="C89" s="17" t="n">
        <v>0.0148514851485148</v>
      </c>
      <c r="D89" s="18" t="n">
        <v>0.8348457350272233</v>
      </c>
      <c r="E89" s="20">
        <f>0.75*B89+0.25*C89</f>
        <v/>
      </c>
      <c r="F89" s="21">
        <f>IF(E89=MIN($E$5:$E$95),"◄ chọn","")</f>
        <v/>
      </c>
    </row>
    <row r="90">
      <c r="A90" s="13" t="n">
        <v>0.9</v>
      </c>
      <c r="B90" s="17" t="n">
        <v>0.2924528301886792</v>
      </c>
      <c r="C90" s="17" t="n">
        <v>0.0148514851485148</v>
      </c>
      <c r="D90" s="18" t="n">
        <v>0.8241758241758241</v>
      </c>
      <c r="E90" s="20">
        <f>0.75*B90+0.25*C90</f>
        <v/>
      </c>
      <c r="F90" s="21">
        <f>IF(E90=MIN($E$5:$E$95),"◄ chọn","")</f>
        <v/>
      </c>
    </row>
    <row r="91">
      <c r="A91" s="13" t="n">
        <v>0.91</v>
      </c>
      <c r="B91" s="17" t="n">
        <v>0.2955974842767295</v>
      </c>
      <c r="C91" s="17" t="n">
        <v>0.0148514851485148</v>
      </c>
      <c r="D91" s="18" t="n">
        <v>0.8220183486238533</v>
      </c>
      <c r="E91" s="20">
        <f>0.75*B91+0.25*C91</f>
        <v/>
      </c>
      <c r="F91" s="21">
        <f>IF(E91=MIN($E$5:$E$95),"◄ chọn","")</f>
        <v/>
      </c>
    </row>
    <row r="92">
      <c r="A92" s="13" t="n">
        <v>0.92</v>
      </c>
      <c r="B92" s="17" t="n">
        <v>0.3113207547169811</v>
      </c>
      <c r="C92" s="17" t="n">
        <v>0.009900990099009899</v>
      </c>
      <c r="D92" s="18" t="n">
        <v>0.8126159554730983</v>
      </c>
      <c r="E92" s="20">
        <f>0.75*B92+0.25*C92</f>
        <v/>
      </c>
      <c r="F92" s="21">
        <f>IF(E92=MIN($E$5:$E$95),"◄ chọn","")</f>
        <v/>
      </c>
    </row>
    <row r="93">
      <c r="A93" s="13" t="n">
        <v>0.93</v>
      </c>
      <c r="B93" s="17" t="n">
        <v>0.3238993710691824</v>
      </c>
      <c r="C93" s="17" t="n">
        <v>0.0049504950495049</v>
      </c>
      <c r="D93" s="18" t="n">
        <v>0.8052434456928839</v>
      </c>
      <c r="E93" s="20">
        <f>0.75*B93+0.25*C93</f>
        <v/>
      </c>
      <c r="F93" s="21">
        <f>IF(E93=MIN($E$5:$E$95),"◄ chọn","")</f>
        <v/>
      </c>
    </row>
    <row r="94">
      <c r="A94" s="13" t="n">
        <v>0.9399999999999999</v>
      </c>
      <c r="B94" s="17" t="n">
        <v>0.3396226415094339</v>
      </c>
      <c r="C94" s="17" t="n">
        <v>0</v>
      </c>
      <c r="D94" s="18" t="n">
        <v>0.7954545454545454</v>
      </c>
      <c r="E94" s="20">
        <f>0.75*B94+0.25*C94</f>
        <v/>
      </c>
      <c r="F94" s="21">
        <f>IF(E94=MIN($E$5:$E$95),"◄ chọn","")</f>
        <v/>
      </c>
    </row>
    <row r="95">
      <c r="A95" s="13" t="n">
        <v>0.95</v>
      </c>
      <c r="B95" s="17" t="n">
        <v>0.3710691823899371</v>
      </c>
      <c r="C95" s="17" t="n">
        <v>0</v>
      </c>
      <c r="D95" s="18" t="n">
        <v>0.7722007722007722</v>
      </c>
      <c r="E95" s="20">
        <f>0.75*B95+0.25*C95</f>
        <v/>
      </c>
      <c r="F95" s="21">
        <f>IF(E95=MIN($E$5:$E$95),"◄ chọn","")</f>
        <v/>
      </c>
    </row>
  </sheetData>
  <conditionalFormatting sqref="A5:E95">
    <cfRule type="expression" priority="1" dxfId="0">
      <formula>$E5=MIN($E$5:$E$95)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Tầng B – đầu ra A4 trên test (ngưỡng 0.58)</t>
        </is>
      </c>
    </row>
    <row r="2">
      <c r="A2" s="2" t="inlineStr">
        <is>
          <t>TP/FN/FP/TN là số bin đo được; các cột tỉ lệ là công thức.</t>
        </is>
      </c>
    </row>
    <row r="3"/>
    <row r="4">
      <c r="A4" s="12" t="inlineStr">
        <is>
          <t>Chế độ</t>
        </is>
      </c>
      <c r="B4" s="12" t="inlineStr">
        <is>
          <t>TP</t>
        </is>
      </c>
      <c r="C4" s="12" t="inlineStr">
        <is>
          <t>FN</t>
        </is>
      </c>
      <c r="D4" s="12" t="inlineStr">
        <is>
          <t>FP</t>
        </is>
      </c>
      <c r="E4" s="12" t="inlineStr">
        <is>
          <t>TN</t>
        </is>
      </c>
      <c r="F4" s="19" t="inlineStr">
        <is>
          <t>MR</t>
        </is>
      </c>
      <c r="G4" s="19" t="inlineStr">
        <is>
          <t>FAR</t>
        </is>
      </c>
      <c r="H4" s="19" t="inlineStr">
        <is>
          <t>Precision</t>
        </is>
      </c>
      <c r="I4" s="19" t="inlineStr">
        <is>
          <t>Recall</t>
        </is>
      </c>
      <c r="J4" s="19" t="inlineStr">
        <is>
          <t>F1</t>
        </is>
      </c>
      <c r="K4" s="19" t="inlineStr">
        <is>
          <t>DCF</t>
        </is>
      </c>
      <c r="L4" s="19" t="inlineStr">
        <is>
          <t>CI 95% F1 (bootstrap file)</t>
        </is>
      </c>
    </row>
    <row r="5">
      <c r="A5" s="13" t="inlineStr">
        <is>
          <t>Strict (mọi bin)</t>
        </is>
      </c>
      <c r="B5" s="14" t="n">
        <v>529</v>
      </c>
      <c r="C5" s="14" t="n">
        <v>23</v>
      </c>
      <c r="D5" s="14" t="n">
        <v>69</v>
      </c>
      <c r="E5" s="14" t="n">
        <v>339</v>
      </c>
      <c r="F5" s="17">
        <f>C5/(B5+C5)</f>
        <v/>
      </c>
      <c r="G5" s="17">
        <f>D5/(D5+E5)</f>
        <v/>
      </c>
      <c r="H5" s="17">
        <f>B5/(B5+D5)</f>
        <v/>
      </c>
      <c r="I5" s="17">
        <f>B5/(B5+C5)</f>
        <v/>
      </c>
      <c r="J5" s="18">
        <f>2*B5/(2*B5+D5+C5)</f>
        <v/>
      </c>
      <c r="K5" s="17">
        <f>0.75*F5+0.25*G5</f>
        <v/>
      </c>
      <c r="L5" s="22" t="inlineStr">
        <is>
          <t>0.900–0.939</t>
        </is>
      </c>
    </row>
    <row r="6">
      <c r="A6" s="13" t="inlineStr">
        <is>
          <t>Collar ±1 bin (bỏ bin biên)</t>
        </is>
      </c>
      <c r="B6" s="14" t="n">
        <v>329</v>
      </c>
      <c r="C6" s="14" t="n">
        <v>3</v>
      </c>
      <c r="D6" s="14" t="n">
        <v>17</v>
      </c>
      <c r="E6" s="14" t="n">
        <v>185</v>
      </c>
      <c r="F6" s="17">
        <f>C6/(B6+C6)</f>
        <v/>
      </c>
      <c r="G6" s="17">
        <f>D6/(D6+E6)</f>
        <v/>
      </c>
      <c r="H6" s="17">
        <f>B6/(B6+D6)</f>
        <v/>
      </c>
      <c r="I6" s="17">
        <f>B6/(B6+C6)</f>
        <v/>
      </c>
      <c r="J6" s="18">
        <f>2*B6/(2*B6+D6+C6)</f>
        <v/>
      </c>
      <c r="K6" s="17">
        <f>0.75*F6+0.25*G6</f>
        <v/>
      </c>
      <c r="L6" s="22" t="inlineStr">
        <is>
          <t>0.953–0.984</t>
        </is>
      </c>
    </row>
    <row r="7">
      <c r="A7" s="13" t="inlineStr">
        <is>
          <t>Chỉ bin biên</t>
        </is>
      </c>
      <c r="B7" s="14" t="n">
        <v>200</v>
      </c>
      <c r="C7" s="14" t="n">
        <v>20</v>
      </c>
      <c r="D7" s="14" t="n">
        <v>52</v>
      </c>
      <c r="E7" s="14" t="n">
        <v>154</v>
      </c>
      <c r="F7" s="17">
        <f>C7/(B7+C7)</f>
        <v/>
      </c>
      <c r="G7" s="17">
        <f>D7/(D7+E7)</f>
        <v/>
      </c>
      <c r="H7" s="17">
        <f>B7/(B7+D7)</f>
        <v/>
      </c>
      <c r="I7" s="17">
        <f>B7/(B7+C7)</f>
        <v/>
      </c>
      <c r="J7" s="18">
        <f>2*B7/(2*B7+D7+C7)</f>
        <v/>
      </c>
      <c r="K7" s="17">
        <f>0.75*F7+0.25*G7</f>
        <v/>
      </c>
    </row>
    <row r="8"/>
    <row r="9">
      <c r="A9" s="12" t="inlineStr">
        <is>
          <t>Loại lỗi</t>
        </is>
      </c>
      <c r="B9" s="12" t="inlineStr">
        <is>
          <t>#bin</t>
        </is>
      </c>
      <c r="C9" s="12" t="inlineStr">
        <is>
          <t>Nhóm</t>
        </is>
      </c>
    </row>
    <row r="10">
      <c r="A10" s="13" t="inlineStr">
        <is>
          <t>FEC* (miss ở bin biên đoạn speech)</t>
        </is>
      </c>
      <c r="B10" s="14" t="n">
        <v>20</v>
      </c>
      <c r="C10" s="14" t="inlineStr">
        <is>
          <t>Biên</t>
        </is>
      </c>
    </row>
    <row r="11">
      <c r="A11" s="13" t="inlineStr">
        <is>
          <t>MSC (miss giữa đoạn)</t>
        </is>
      </c>
      <c r="B11" s="14" t="n">
        <v>3</v>
      </c>
      <c r="C11" s="14" t="inlineStr">
        <is>
          <t>Thật</t>
        </is>
      </c>
    </row>
    <row r="12">
      <c r="A12" s="13" t="inlineStr">
        <is>
          <t>OVER* (FA ở bin sát đoạn speech)</t>
        </is>
      </c>
      <c r="B12" s="14" t="n">
        <v>52</v>
      </c>
      <c r="C12" s="14" t="inlineStr">
        <is>
          <t>Biên</t>
        </is>
      </c>
    </row>
    <row r="13">
      <c r="A13" s="13" t="inlineStr">
        <is>
          <t>NDS (FA giữa vùng non-speech)</t>
        </is>
      </c>
      <c r="B13" s="14" t="n">
        <v>17</v>
      </c>
      <c r="C13" s="14" t="inlineStr">
        <is>
          <t>Thật</t>
        </is>
      </c>
    </row>
    <row r="14">
      <c r="A14" s="5" t="inlineStr">
        <is>
          <t>% lỗi thật</t>
        </is>
      </c>
      <c r="B14" s="23">
        <f>SUMIF(C10:C13,"Thật",B10:B13)/SUM(B10:B13)</f>
        <v/>
      </c>
    </row>
    <row r="15"/>
    <row r="16">
      <c r="A16" s="12" t="inlineStr">
        <is>
          <t>Metric theo đoạn</t>
        </is>
      </c>
      <c r="B16" s="12" t="inlineStr">
        <is>
          <t>Giá trị</t>
        </is>
      </c>
    </row>
    <row r="17">
      <c r="A17" s="13" t="inlineStr">
        <is>
          <t>Event-F1 (onset+offset, collar 0.5s)</t>
        </is>
      </c>
      <c r="B17" s="14" t="n">
        <v>0.8162</v>
      </c>
    </row>
    <row r="18">
      <c r="A18" s="13" t="inlineStr">
        <is>
          <t>Event-F1 (onset-only)</t>
        </is>
      </c>
      <c r="B18" s="14" t="n">
        <v>0.8897</v>
      </c>
    </row>
    <row r="19">
      <c r="A19" s="13" t="inlineStr">
        <is>
          <t>#đoạn GT / #đoạn dự đoán</t>
        </is>
      </c>
      <c r="B19" s="14" t="inlineStr">
        <is>
          <t>139 / 133</t>
        </is>
      </c>
    </row>
    <row r="20">
      <c r="A20" s="13" t="inlineStr">
        <is>
          <t>#đoạn GT bị chẻ (fragmentation)</t>
        </is>
      </c>
      <c r="B20" s="14" t="n">
        <v>0</v>
      </c>
    </row>
    <row r="21">
      <c r="A21" s="13" t="inlineStr">
        <is>
          <t>#đoạn dự đoán gộp ≥2 đoạn GT (over-merge)</t>
        </is>
      </c>
      <c r="B21" s="14" t="n">
        <v>11</v>
      </c>
    </row>
    <row r="22">
      <c r="A22" s="13" t="inlineStr">
        <is>
          <t>Δonset trung bình (s)</t>
        </is>
      </c>
      <c r="B22" s="14" t="n">
        <v>-0.333</v>
      </c>
    </row>
    <row r="23">
      <c r="A23" s="13" t="inlineStr">
        <is>
          <t>Δoffset trung bình (s)</t>
        </is>
      </c>
      <c r="B23" s="14" t="n">
        <v>0.215</v>
      </c>
    </row>
    <row r="24">
      <c r="A24" s="13" t="inlineStr">
        <is>
          <t>Khoảng lặng GT ≤1s bị lấp</t>
        </is>
      </c>
      <c r="B24" s="14" t="inlineStr">
        <is>
          <t>11 / 41</t>
        </is>
      </c>
    </row>
    <row r="25"/>
    <row r="26">
      <c r="A26" s="24" t="inlineStr">
        <is>
          <t>* Định nghĩa đơn giản hóa theo bin: FEC gồm cả cắt ở đầu và cuối đoạn; OVER gồm cả FA ngay trước onset.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9" customWidth="1" min="4" max="4"/>
    <col width="9" customWidth="1" min="5" max="5"/>
    <col width="7" customWidth="1" min="6" max="6"/>
    <col width="7" customWidth="1" min="7" max="7"/>
    <col width="7" customWidth="1" min="8" max="8"/>
    <col width="7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Báo cáo theo category (test, A4, ngưỡng 0.58)</t>
        </is>
      </c>
    </row>
    <row r="2">
      <c r="A2" s="2" t="inlineStr">
        <is>
          <t>DCF, phần F1 mất do biên và % lỗi thật là công thức. CI: bootstrap theo file.</t>
        </is>
      </c>
    </row>
    <row r="3"/>
    <row r="4">
      <c r="A4" s="12" t="inlineStr">
        <is>
          <t>Category</t>
        </is>
      </c>
      <c r="B4" s="12" t="inlineStr">
        <is>
          <t>n_file</t>
        </is>
      </c>
      <c r="C4" s="12" t="inlineStr">
        <is>
          <t>pct_speech</t>
        </is>
      </c>
      <c r="D4" s="12" t="inlineStr">
        <is>
          <t>MR</t>
        </is>
      </c>
      <c r="E4" s="12" t="inlineStr">
        <is>
          <t>FAR</t>
        </is>
      </c>
      <c r="F4" s="12" t="inlineStr">
        <is>
          <t>FEC</t>
        </is>
      </c>
      <c r="G4" s="12" t="inlineStr">
        <is>
          <t>MSC</t>
        </is>
      </c>
      <c r="H4" s="12" t="inlineStr">
        <is>
          <t>OVER</t>
        </is>
      </c>
      <c r="I4" s="12" t="inlineStr">
        <is>
          <t>NDS</t>
        </is>
      </c>
      <c r="J4" s="12" t="inlineStr">
        <is>
          <t>F1_strict</t>
        </is>
      </c>
      <c r="K4" s="12" t="inlineStr">
        <is>
          <t>F1_±1bin</t>
        </is>
      </c>
      <c r="L4" s="12" t="inlineStr">
        <is>
          <t>F1_CI_lo</t>
        </is>
      </c>
      <c r="M4" s="12" t="inlineStr">
        <is>
          <t>F1_CI_hi</t>
        </is>
      </c>
      <c r="N4" s="19" t="inlineStr">
        <is>
          <t>DCF</t>
        </is>
      </c>
      <c r="O4" s="19" t="inlineStr">
        <is>
          <t>F1 mất do biên</t>
        </is>
      </c>
      <c r="P4" s="19" t="inlineStr">
        <is>
          <t>% lỗi thật</t>
        </is>
      </c>
    </row>
    <row r="5">
      <c r="A5" s="13" t="inlineStr">
        <is>
          <t>Asm</t>
        </is>
      </c>
      <c r="B5" s="14" t="n">
        <v>12</v>
      </c>
      <c r="C5" s="17" t="n">
        <v>0.5916666666666667</v>
      </c>
      <c r="D5" s="17" t="n">
        <v>0.0211267605633802</v>
      </c>
      <c r="E5" s="17" t="n">
        <v>0.1020408163265306</v>
      </c>
      <c r="F5" s="14" t="n">
        <v>3</v>
      </c>
      <c r="G5" s="14" t="n">
        <v>0</v>
      </c>
      <c r="H5" s="14" t="n">
        <v>10</v>
      </c>
      <c r="I5" s="14" t="n">
        <v>0</v>
      </c>
      <c r="J5" s="25" t="n">
        <v>0.9553264604810996</v>
      </c>
      <c r="K5" s="25" t="n">
        <v>1</v>
      </c>
      <c r="L5" s="25" t="n">
        <v>0.931232808974874</v>
      </c>
      <c r="M5" s="25" t="n">
        <v>0.9751552795031057</v>
      </c>
      <c r="N5" s="17">
        <f>0.75*D5+0.25*E5</f>
        <v/>
      </c>
      <c r="O5" s="25">
        <f>K5-J5</f>
        <v/>
      </c>
      <c r="P5" s="26">
        <f>IF(SUM(F5:I5)=0,"",(G5+I5)/SUM(F5:I5))</f>
        <v/>
      </c>
    </row>
    <row r="6">
      <c r="A6" s="13" t="inlineStr">
        <is>
          <t>Babble</t>
        </is>
      </c>
      <c r="B6" s="14" t="n">
        <v>6</v>
      </c>
      <c r="C6" s="17" t="n">
        <v>0.5833333333333334</v>
      </c>
      <c r="D6" s="17" t="n">
        <v>0.0857142857142857</v>
      </c>
      <c r="E6" s="17" t="n">
        <v>0.38</v>
      </c>
      <c r="F6" s="14" t="n">
        <v>5</v>
      </c>
      <c r="G6" s="14" t="n">
        <v>1</v>
      </c>
      <c r="H6" s="14" t="n">
        <v>11</v>
      </c>
      <c r="I6" s="14" t="n">
        <v>8</v>
      </c>
      <c r="J6" s="25" t="n">
        <v>0.8366013071895425</v>
      </c>
      <c r="K6" s="25" t="n">
        <v>0.9032258064516128</v>
      </c>
      <c r="L6" s="25" t="n">
        <v>0.7846153846153846</v>
      </c>
      <c r="M6" s="25" t="n">
        <v>0.880482948744129</v>
      </c>
      <c r="N6" s="17">
        <f>0.75*D6+0.25*E6</f>
        <v/>
      </c>
      <c r="O6" s="25">
        <f>K6-J6</f>
        <v/>
      </c>
      <c r="P6" s="26">
        <f>IF(SUM(F6:I6)=0,"",(G6+I6)/SUM(F6:I6))</f>
        <v/>
      </c>
    </row>
    <row r="7">
      <c r="A7" s="13" t="inlineStr">
        <is>
          <t>Clean</t>
        </is>
      </c>
      <c r="B7" s="14" t="n">
        <v>10</v>
      </c>
      <c r="C7" s="17" t="n">
        <v>0.6</v>
      </c>
      <c r="D7" s="17" t="n">
        <v>0.0083333333333333</v>
      </c>
      <c r="E7" s="17" t="n">
        <v>0.075</v>
      </c>
      <c r="F7" s="14" t="n">
        <v>1</v>
      </c>
      <c r="G7" s="14" t="n">
        <v>0</v>
      </c>
      <c r="H7" s="14" t="n">
        <v>5</v>
      </c>
      <c r="I7" s="14" t="n">
        <v>1</v>
      </c>
      <c r="J7" s="25" t="n">
        <v>0.9714285714285714</v>
      </c>
      <c r="K7" s="25" t="n">
        <v>0.9932885906040269</v>
      </c>
      <c r="L7" s="25" t="n">
        <v>0.9341757190804432</v>
      </c>
      <c r="M7" s="25" t="n">
        <v>0.9959024103468548</v>
      </c>
      <c r="N7" s="17">
        <f>0.75*D7+0.25*E7</f>
        <v/>
      </c>
      <c r="O7" s="25">
        <f>K7-J7</f>
        <v/>
      </c>
      <c r="P7" s="26">
        <f>IF(SUM(F7:I7)=0,"",(G7+I7)/SUM(F7:I7))</f>
        <v/>
      </c>
    </row>
    <row r="8">
      <c r="A8" s="13" t="inlineStr">
        <is>
          <t>Music</t>
        </is>
      </c>
      <c r="B8" s="14" t="n">
        <v>11</v>
      </c>
      <c r="C8" s="17" t="n">
        <v>0.4636363636363636</v>
      </c>
      <c r="D8" s="17" t="n">
        <v>0.0490196078431372</v>
      </c>
      <c r="E8" s="17" t="n">
        <v>0.1694915254237288</v>
      </c>
      <c r="F8" s="14" t="n">
        <v>5</v>
      </c>
      <c r="G8" s="14" t="n">
        <v>0</v>
      </c>
      <c r="H8" s="14" t="n">
        <v>14</v>
      </c>
      <c r="I8" s="14" t="n">
        <v>6</v>
      </c>
      <c r="J8" s="25" t="n">
        <v>0.8858447488584474</v>
      </c>
      <c r="K8" s="25" t="n">
        <v>0.953125</v>
      </c>
      <c r="L8" s="25" t="n">
        <v>0.8333333333333334</v>
      </c>
      <c r="M8" s="25" t="n">
        <v>0.925337713824242</v>
      </c>
      <c r="N8" s="17">
        <f>0.75*D8+0.25*E8</f>
        <v/>
      </c>
      <c r="O8" s="25">
        <f>K8-J8</f>
        <v/>
      </c>
      <c r="P8" s="26">
        <f>IF(SUM(F8:I8)=0,"",(G8+I8)/SUM(F8:I8))</f>
        <v/>
      </c>
    </row>
    <row r="9">
      <c r="A9" s="13" t="inlineStr">
        <is>
          <t>Noise</t>
        </is>
      </c>
      <c r="B9" s="14" t="n">
        <v>9</v>
      </c>
      <c r="C9" s="17" t="n">
        <v>0.6555555555555556</v>
      </c>
      <c r="D9" s="17" t="n">
        <v>0.0677966101694915</v>
      </c>
      <c r="E9" s="17" t="n">
        <v>0.2258064516129032</v>
      </c>
      <c r="F9" s="14" t="n">
        <v>6</v>
      </c>
      <c r="G9" s="14" t="n">
        <v>2</v>
      </c>
      <c r="H9" s="14" t="n">
        <v>12</v>
      </c>
      <c r="I9" s="14" t="n">
        <v>2</v>
      </c>
      <c r="J9" s="25" t="n">
        <v>0.9090909090909092</v>
      </c>
      <c r="K9" s="25" t="n">
        <v>0.9736842105263158</v>
      </c>
      <c r="L9" s="25" t="n">
        <v>0.87220329218107</v>
      </c>
      <c r="M9" s="25" t="n">
        <v>0.9421487603305784</v>
      </c>
      <c r="N9" s="17">
        <f>0.75*D9+0.25*E9</f>
        <v/>
      </c>
      <c r="O9" s="25">
        <f>K9-J9</f>
        <v/>
      </c>
      <c r="P9" s="26">
        <f>IF(SUM(F9:I9)=0,"",(G9+I9)/SUM(F9:I9))</f>
        <v/>
      </c>
    </row>
    <row r="10">
      <c r="A10" s="5" t="inlineStr">
        <is>
          <t>Macro (TB)</t>
        </is>
      </c>
      <c r="B10" s="22">
        <f>SUM(B5:B9)</f>
        <v/>
      </c>
      <c r="D10" s="27">
        <f>AVERAGE(D5:D9)</f>
        <v/>
      </c>
      <c r="E10" s="27">
        <f>AVERAGE(E5:E9)</f>
        <v/>
      </c>
      <c r="F10" s="5">
        <f>SUM(F5:F9)</f>
        <v/>
      </c>
      <c r="G10" s="5">
        <f>SUM(G5:G9)</f>
        <v/>
      </c>
      <c r="H10" s="5">
        <f>SUM(H5:H9)</f>
        <v/>
      </c>
      <c r="I10" s="5">
        <f>SUM(I5:I9)</f>
        <v/>
      </c>
      <c r="J10" s="28">
        <f>AVERAGE(J5:J9)</f>
        <v/>
      </c>
      <c r="K10" s="28">
        <f>AVERAGE(K5:K9)</f>
        <v/>
      </c>
      <c r="N10" s="27">
        <f>AVERAGE(N5:N9)</f>
        <v/>
      </c>
    </row>
  </sheetData>
  <conditionalFormatting sqref="J5:J9">
    <cfRule type="expression" priority="1" dxfId="2">
      <formula>J5=MIN($J$5:$J$9)</formula>
    </cfRule>
  </conditionalFormatting>
  <conditionalFormatting sqref="E5:E9">
    <cfRule type="expression" priority="2" dxfId="2">
      <formula>E5=MAX($E$5:$E$9)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9" customWidth="1" min="4" max="4"/>
    <col width="9" customWidth="1" min="5" max="5"/>
    <col width="10" customWidth="1" min="6" max="6"/>
    <col width="10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Ablation hậu xử lý (test; ngưỡng chọn riêng cho từng cấu hình trên dev)</t>
        </is>
      </c>
    </row>
    <row r="2">
      <c r="A2" s="2" t="inlineStr">
        <is>
          <t>DCF và ΔDCF là công thức.</t>
        </is>
      </c>
    </row>
    <row r="3"/>
    <row r="4">
      <c r="A4" s="12" t="inlineStr">
        <is>
          <t>Cấu hình</t>
        </is>
      </c>
      <c r="B4" s="12" t="inlineStr">
        <is>
          <t>Mô tả</t>
        </is>
      </c>
      <c r="C4" s="12" t="inlineStr">
        <is>
          <t>Ngưỡng (dev)</t>
        </is>
      </c>
      <c r="D4" s="12" t="inlineStr">
        <is>
          <t>MR</t>
        </is>
      </c>
      <c r="E4" s="12" t="inlineStr">
        <is>
          <t>FAR</t>
        </is>
      </c>
      <c r="F4" s="12" t="inlineStr">
        <is>
          <t>F1_strict</t>
        </is>
      </c>
      <c r="G4" s="12" t="inlineStr">
        <is>
          <t>F1_±1bin</t>
        </is>
      </c>
      <c r="H4" s="12" t="inlineStr">
        <is>
          <t>FEC</t>
        </is>
      </c>
      <c r="I4" s="12" t="inlineStr">
        <is>
          <t>MSC</t>
        </is>
      </c>
      <c r="J4" s="12" t="inlineStr">
        <is>
          <t>OVER</t>
        </is>
      </c>
      <c r="K4" s="12" t="inlineStr">
        <is>
          <t>NDS</t>
        </is>
      </c>
      <c r="L4" s="19" t="inlineStr">
        <is>
          <t>DCF</t>
        </is>
      </c>
      <c r="M4" s="19" t="inlineStr">
        <is>
          <t>ΔDCF vs A0</t>
        </is>
      </c>
    </row>
    <row r="5">
      <c r="A5" s="13" t="inlineStr">
        <is>
          <t>A0</t>
        </is>
      </c>
      <c r="B5" s="14" t="inlineStr">
        <is>
          <t>Điểm bin thô, không hậu xử lý</t>
        </is>
      </c>
      <c r="C5" s="14" t="n">
        <v>0.45</v>
      </c>
      <c r="D5" s="17" t="n">
        <v>0.0380434782608695</v>
      </c>
      <c r="E5" s="17" t="n">
        <v>0.1691176470588235</v>
      </c>
      <c r="F5" s="18" t="n">
        <v>0.921875</v>
      </c>
      <c r="G5" s="18" t="n">
        <v>0.956140350877193</v>
      </c>
      <c r="H5" s="14" t="n">
        <v>16</v>
      </c>
      <c r="I5" s="14" t="n">
        <v>5</v>
      </c>
      <c r="J5" s="14" t="n">
        <v>44</v>
      </c>
      <c r="K5" s="14" t="n">
        <v>25</v>
      </c>
      <c r="L5" s="29">
        <f>0.75*D5+0.25*E5</f>
        <v/>
      </c>
      <c r="M5" s="30">
        <f>L5-$L$5</f>
        <v/>
      </c>
    </row>
    <row r="6">
      <c r="A6" s="13" t="inlineStr">
        <is>
          <t>A1</t>
        </is>
      </c>
      <c r="B6" s="14" t="inlineStr">
        <is>
          <t>Rescore + rebin</t>
        </is>
      </c>
      <c r="C6" s="14" t="n">
        <v>0.48</v>
      </c>
      <c r="D6" s="17" t="n">
        <v>0.0434782608695652</v>
      </c>
      <c r="E6" s="17" t="n">
        <v>0.1715686274509804</v>
      </c>
      <c r="F6" s="18" t="n">
        <v>0.9182608695652174</v>
      </c>
      <c r="G6" s="18" t="n">
        <v>0.9734513274336284</v>
      </c>
      <c r="H6" s="14" t="n">
        <v>22</v>
      </c>
      <c r="I6" s="14" t="n">
        <v>2</v>
      </c>
      <c r="J6" s="14" t="n">
        <v>54</v>
      </c>
      <c r="K6" s="14" t="n">
        <v>16</v>
      </c>
      <c r="L6" s="29">
        <f>0.75*D6+0.25*E6</f>
        <v/>
      </c>
      <c r="M6" s="30">
        <f>L6-$L$5</f>
        <v/>
      </c>
    </row>
    <row r="7">
      <c r="A7" s="13" t="inlineStr">
        <is>
          <t>A2</t>
        </is>
      </c>
      <c r="B7" s="14" t="inlineStr">
        <is>
          <t>+ pad 100/120ms</t>
        </is>
      </c>
      <c r="C7" s="14" t="n">
        <v>0.58</v>
      </c>
      <c r="D7" s="17" t="n">
        <v>0.0416666666666666</v>
      </c>
      <c r="E7" s="17" t="n">
        <v>0.1617647058823529</v>
      </c>
      <c r="F7" s="18" t="n">
        <v>0.9224062772449868</v>
      </c>
      <c r="G7" s="18" t="n">
        <v>0.9705014749262536</v>
      </c>
      <c r="H7" s="14" t="n">
        <v>20</v>
      </c>
      <c r="I7" s="14" t="n">
        <v>3</v>
      </c>
      <c r="J7" s="14" t="n">
        <v>49</v>
      </c>
      <c r="K7" s="14" t="n">
        <v>17</v>
      </c>
      <c r="L7" s="29">
        <f>0.75*D7+0.25*E7</f>
        <v/>
      </c>
      <c r="M7" s="30">
        <f>L7-$L$5</f>
        <v/>
      </c>
    </row>
    <row r="8">
      <c r="A8" s="13" t="inlineStr">
        <is>
          <t>A3</t>
        </is>
      </c>
      <c r="B8" s="14" t="inlineStr">
        <is>
          <t>+ merge &lt;500ms</t>
        </is>
      </c>
      <c r="C8" s="14" t="n">
        <v>0.47</v>
      </c>
      <c r="D8" s="17" t="n">
        <v>0.0380434782608695</v>
      </c>
      <c r="E8" s="17" t="n">
        <v>0.1936274509803921</v>
      </c>
      <c r="F8" s="18" t="n">
        <v>0.9139414802065404</v>
      </c>
      <c r="G8" s="18" t="n">
        <v>0.9691629955947136</v>
      </c>
      <c r="H8" s="14" t="n">
        <v>19</v>
      </c>
      <c r="I8" s="14" t="n">
        <v>2</v>
      </c>
      <c r="J8" s="14" t="n">
        <v>60</v>
      </c>
      <c r="K8" s="14" t="n">
        <v>19</v>
      </c>
      <c r="L8" s="29">
        <f>0.75*D8+0.25*E8</f>
        <v/>
      </c>
      <c r="M8" s="30">
        <f>L8-$L$5</f>
        <v/>
      </c>
    </row>
    <row r="9">
      <c r="A9" s="13" t="inlineStr">
        <is>
          <t>A4</t>
        </is>
      </c>
      <c r="B9" s="14" t="inlineStr">
        <is>
          <t>+ pad + merge (hiện tại)</t>
        </is>
      </c>
      <c r="C9" s="14" t="n">
        <v>0.58</v>
      </c>
      <c r="D9" s="17" t="n">
        <v>0.0416666666666666</v>
      </c>
      <c r="E9" s="17" t="n">
        <v>0.1691176470588235</v>
      </c>
      <c r="F9" s="18" t="n">
        <v>0.92</v>
      </c>
      <c r="G9" s="18" t="n">
        <v>0.9705014749262536</v>
      </c>
      <c r="H9" s="14" t="n">
        <v>20</v>
      </c>
      <c r="I9" s="14" t="n">
        <v>3</v>
      </c>
      <c r="J9" s="14" t="n">
        <v>52</v>
      </c>
      <c r="K9" s="14" t="n">
        <v>17</v>
      </c>
      <c r="L9" s="29">
        <f>0.75*D9+0.25*E9</f>
        <v/>
      </c>
      <c r="M9" s="30">
        <f>L9-$L$5</f>
        <v/>
      </c>
    </row>
    <row r="10"/>
    <row r="11">
      <c r="A11" s="5" t="inlineStr">
        <is>
          <t>Lưới pad × merge trên dev (ngưỡng A4)</t>
        </is>
      </c>
      <c r="D11" s="24" t="inlineStr">
        <is>
          <t>Tốt nhất: pad 100/120ms, merge 750ms (chỉ để tham khảo, không chọn lại trên test)</t>
        </is>
      </c>
    </row>
    <row r="12">
      <c r="A12" s="12" t="inlineStr">
        <is>
          <t>pre_ms</t>
        </is>
      </c>
      <c r="B12" s="12" t="inlineStr">
        <is>
          <t>post_ms</t>
        </is>
      </c>
      <c r="C12" s="12" t="inlineStr">
        <is>
          <t>gap_ms</t>
        </is>
      </c>
      <c r="D12" s="12" t="inlineStr">
        <is>
          <t>F1</t>
        </is>
      </c>
      <c r="E12" s="12" t="inlineStr">
        <is>
          <t>DCF</t>
        </is>
      </c>
    </row>
    <row r="13">
      <c r="A13" s="13" t="n">
        <v>100</v>
      </c>
      <c r="B13" s="14" t="n">
        <v>120</v>
      </c>
      <c r="C13" s="14" t="n">
        <v>750</v>
      </c>
      <c r="D13" s="18" t="n">
        <v>0.9413533834586466</v>
      </c>
      <c r="E13" s="18" t="n">
        <v>0.0538716607509807</v>
      </c>
    </row>
    <row r="14">
      <c r="A14" s="13" t="n">
        <v>100</v>
      </c>
      <c r="B14" s="14" t="n">
        <v>120</v>
      </c>
      <c r="C14" s="14" t="n">
        <v>250</v>
      </c>
      <c r="D14" s="18" t="n">
        <v>0.944954128440367</v>
      </c>
      <c r="E14" s="18" t="n">
        <v>0.054642256678498</v>
      </c>
    </row>
    <row r="15">
      <c r="A15" s="13" t="n">
        <v>100</v>
      </c>
      <c r="B15" s="14" t="n">
        <v>120</v>
      </c>
      <c r="C15" s="14" t="n">
        <v>0</v>
      </c>
      <c r="D15" s="18" t="n">
        <v>0.944954128440367</v>
      </c>
      <c r="E15" s="18" t="n">
        <v>0.054642256678498</v>
      </c>
    </row>
    <row r="16">
      <c r="A16" s="13" t="n">
        <v>100</v>
      </c>
      <c r="B16" s="14" t="n">
        <v>120</v>
      </c>
      <c r="C16" s="14" t="n">
        <v>500</v>
      </c>
      <c r="D16" s="18" t="n">
        <v>0.9435114503816794</v>
      </c>
      <c r="E16" s="18" t="n">
        <v>0.0558798804408742</v>
      </c>
    </row>
    <row r="17">
      <c r="A17" s="13" t="n">
        <v>50</v>
      </c>
      <c r="B17" s="14" t="n">
        <v>120</v>
      </c>
      <c r="C17" s="14" t="n">
        <v>0</v>
      </c>
      <c r="D17" s="18" t="n">
        <v>0.9446153846153846</v>
      </c>
      <c r="E17" s="18" t="n">
        <v>0.056883990285821</v>
      </c>
    </row>
    <row r="18">
      <c r="A18" s="13" t="n">
        <v>50</v>
      </c>
      <c r="B18" s="14" t="n">
        <v>120</v>
      </c>
      <c r="C18" s="14" t="n">
        <v>250</v>
      </c>
      <c r="D18" s="18" t="n">
        <v>0.9446153846153846</v>
      </c>
      <c r="E18" s="18" t="n">
        <v>0.056883990285821</v>
      </c>
    </row>
    <row r="19">
      <c r="A19" s="13" t="n">
        <v>50</v>
      </c>
      <c r="B19" s="14" t="n">
        <v>120</v>
      </c>
      <c r="C19" s="14" t="n">
        <v>500</v>
      </c>
      <c r="D19" s="18" t="n">
        <v>0.9431643625192012</v>
      </c>
      <c r="E19" s="18" t="n">
        <v>0.0581216140481972</v>
      </c>
    </row>
    <row r="20">
      <c r="A20" s="13" t="n">
        <v>100</v>
      </c>
      <c r="B20" s="14" t="n">
        <v>240</v>
      </c>
      <c r="C20" s="14" t="n">
        <v>0</v>
      </c>
      <c r="D20" s="18" t="n">
        <v>0.93815987933635</v>
      </c>
      <c r="E20" s="18" t="n">
        <v>0.0585886418830562</v>
      </c>
    </row>
    <row r="21">
      <c r="A21" s="13" t="n">
        <v>100</v>
      </c>
      <c r="B21" s="14" t="n">
        <v>240</v>
      </c>
      <c r="C21" s="14" t="n">
        <v>250</v>
      </c>
      <c r="D21" s="18" t="n">
        <v>0.93815987933635</v>
      </c>
      <c r="E21" s="18" t="n">
        <v>0.0585886418830562</v>
      </c>
    </row>
    <row r="22">
      <c r="A22" s="13" t="n">
        <v>0</v>
      </c>
      <c r="B22" s="14" t="n">
        <v>120</v>
      </c>
      <c r="C22" s="14" t="n">
        <v>500</v>
      </c>
      <c r="D22" s="18" t="n">
        <v>0.9442724458204336</v>
      </c>
      <c r="E22" s="18" t="n">
        <v>0.059125723893144</v>
      </c>
    </row>
    <row r="23">
      <c r="A23" s="13" t="n">
        <v>0</v>
      </c>
      <c r="B23" s="14" t="n">
        <v>120</v>
      </c>
      <c r="C23" s="14" t="n">
        <v>250</v>
      </c>
      <c r="D23" s="18" t="n">
        <v>0.9442724458204336</v>
      </c>
      <c r="E23" s="18" t="n">
        <v>0.059125723893144</v>
      </c>
    </row>
    <row r="24">
      <c r="A24" s="13" t="n">
        <v>100</v>
      </c>
      <c r="B24" s="14" t="n">
        <v>240</v>
      </c>
      <c r="C24" s="14" t="n">
        <v>500</v>
      </c>
      <c r="D24" s="18" t="n">
        <v>0.9355322338830584</v>
      </c>
      <c r="E24" s="18" t="n">
        <v>0.0599430226041472</v>
      </c>
    </row>
    <row r="25">
      <c r="A25" s="13" t="n">
        <v>0</v>
      </c>
      <c r="B25" s="14" t="n">
        <v>120</v>
      </c>
      <c r="C25" s="14" t="n">
        <v>750</v>
      </c>
      <c r="D25" s="18" t="n">
        <v>0.9415384615384615</v>
      </c>
      <c r="E25" s="18" t="n">
        <v>0.060480104614235</v>
      </c>
    </row>
    <row r="26">
      <c r="A26" s="13" t="n">
        <v>50</v>
      </c>
      <c r="B26" s="14" t="n">
        <v>240</v>
      </c>
      <c r="C26" s="14" t="n">
        <v>250</v>
      </c>
      <c r="D26" s="18" t="n">
        <v>0.9377845220030347</v>
      </c>
      <c r="E26" s="18" t="n">
        <v>0.0608303754903792</v>
      </c>
    </row>
    <row r="27">
      <c r="A27" s="13" t="n">
        <v>50</v>
      </c>
      <c r="B27" s="14" t="n">
        <v>240</v>
      </c>
      <c r="C27" s="14" t="n">
        <v>0</v>
      </c>
      <c r="D27" s="18" t="n">
        <v>0.9377845220030347</v>
      </c>
      <c r="E27" s="18" t="n">
        <v>0.0608303754903792</v>
      </c>
    </row>
    <row r="28">
      <c r="A28" s="13" t="n">
        <v>0</v>
      </c>
      <c r="B28" s="14" t="n">
        <v>120</v>
      </c>
      <c r="C28" s="14" t="n">
        <v>0</v>
      </c>
      <c r="D28" s="18" t="n">
        <v>0.9426356589147288</v>
      </c>
      <c r="E28" s="18" t="n">
        <v>0.0614842144591817</v>
      </c>
    </row>
    <row r="29">
      <c r="A29" s="13" t="n">
        <v>100</v>
      </c>
      <c r="B29" s="14" t="n">
        <v>60</v>
      </c>
      <c r="C29" s="14" t="n">
        <v>250</v>
      </c>
      <c r="D29" s="18" t="n">
        <v>0.9426356589147288</v>
      </c>
      <c r="E29" s="18" t="n">
        <v>0.0614842144591817</v>
      </c>
    </row>
    <row r="30">
      <c r="A30" s="13" t="n">
        <v>100</v>
      </c>
      <c r="B30" s="14" t="n">
        <v>60</v>
      </c>
      <c r="C30" s="14" t="n">
        <v>0</v>
      </c>
      <c r="D30" s="18" t="n">
        <v>0.9426356589147288</v>
      </c>
      <c r="E30" s="18" t="n">
        <v>0.0614842144591817</v>
      </c>
    </row>
    <row r="31">
      <c r="A31" s="13" t="n">
        <v>50</v>
      </c>
      <c r="B31" s="14" t="n">
        <v>120</v>
      </c>
      <c r="C31" s="14" t="n">
        <v>750</v>
      </c>
      <c r="D31" s="18" t="n">
        <v>0.9375951293759512</v>
      </c>
      <c r="E31" s="18" t="n">
        <v>0.0619512422940407</v>
      </c>
    </row>
    <row r="32">
      <c r="A32" s="13" t="n">
        <v>50</v>
      </c>
      <c r="B32" s="14" t="n">
        <v>240</v>
      </c>
      <c r="C32" s="14" t="n">
        <v>750</v>
      </c>
      <c r="D32" s="18" t="n">
        <v>0.9327354260089686</v>
      </c>
      <c r="E32" s="18" t="n">
        <v>0.0624182701288996</v>
      </c>
    </row>
    <row r="33">
      <c r="A33" s="13" t="n">
        <v>100</v>
      </c>
      <c r="B33" s="14" t="n">
        <v>120</v>
      </c>
      <c r="C33" s="14" t="n">
        <v>1000</v>
      </c>
      <c r="D33" s="18" t="n">
        <v>0.9315476190476192</v>
      </c>
      <c r="E33" s="18" t="n">
        <v>0.06253502708761439</v>
      </c>
    </row>
    <row r="34">
      <c r="A34" s="13" t="n">
        <v>100</v>
      </c>
      <c r="B34" s="14" t="n">
        <v>60</v>
      </c>
      <c r="C34" s="14" t="n">
        <v>500</v>
      </c>
      <c r="D34" s="18" t="n">
        <v>0.9411764705882352</v>
      </c>
      <c r="E34" s="18" t="n">
        <v>0.062721838221558</v>
      </c>
    </row>
    <row r="35">
      <c r="A35" s="13" t="n">
        <v>0</v>
      </c>
      <c r="B35" s="14" t="n">
        <v>240</v>
      </c>
      <c r="C35" s="14" t="n">
        <v>0</v>
      </c>
      <c r="D35" s="18" t="n">
        <v>0.9374045801526718</v>
      </c>
      <c r="E35" s="18" t="n">
        <v>0.06307210909770219</v>
      </c>
    </row>
    <row r="36">
      <c r="A36" s="13" t="n">
        <v>0</v>
      </c>
      <c r="B36" s="14" t="n">
        <v>240</v>
      </c>
      <c r="C36" s="14" t="n">
        <v>250</v>
      </c>
      <c r="D36" s="18" t="n">
        <v>0.9374045801526718</v>
      </c>
      <c r="E36" s="18" t="n">
        <v>0.06307210909770219</v>
      </c>
    </row>
    <row r="37">
      <c r="A37" s="13" t="n">
        <v>50</v>
      </c>
      <c r="B37" s="14" t="n">
        <v>240</v>
      </c>
      <c r="C37" s="14" t="n">
        <v>500</v>
      </c>
      <c r="D37" s="18" t="n">
        <v>0.9349470499243572</v>
      </c>
      <c r="E37" s="18" t="n">
        <v>0.06330562301513171</v>
      </c>
    </row>
    <row r="38">
      <c r="A38" s="13" t="n">
        <v>200</v>
      </c>
      <c r="B38" s="14" t="n">
        <v>120</v>
      </c>
      <c r="C38" s="14" t="n">
        <v>0</v>
      </c>
      <c r="D38" s="18" t="n">
        <v>0.933734939759036</v>
      </c>
      <c r="E38" s="18" t="n">
        <v>0.06342237997384639</v>
      </c>
    </row>
    <row r="39">
      <c r="A39" s="13" t="n">
        <v>200</v>
      </c>
      <c r="B39" s="14" t="n">
        <v>120</v>
      </c>
      <c r="C39" s="14" t="n">
        <v>250</v>
      </c>
      <c r="D39" s="18" t="n">
        <v>0.933734939759036</v>
      </c>
      <c r="E39" s="18" t="n">
        <v>0.06342237997384639</v>
      </c>
    </row>
    <row r="40">
      <c r="A40" s="13" t="n">
        <v>0</v>
      </c>
      <c r="B40" s="14" t="n">
        <v>60</v>
      </c>
      <c r="C40" s="14" t="n">
        <v>0</v>
      </c>
      <c r="D40" s="18" t="n">
        <v>0.9448818897637796</v>
      </c>
      <c r="E40" s="18" t="n">
        <v>0.06349243414907529</v>
      </c>
    </row>
    <row r="41">
      <c r="A41" s="13" t="n">
        <v>0</v>
      </c>
      <c r="B41" s="14" t="n">
        <v>60</v>
      </c>
      <c r="C41" s="14" t="n">
        <v>250</v>
      </c>
      <c r="D41" s="18" t="n">
        <v>0.9448818897637796</v>
      </c>
      <c r="E41" s="18" t="n">
        <v>0.06349243414907529</v>
      </c>
    </row>
    <row r="42">
      <c r="A42" s="13" t="n">
        <v>50</v>
      </c>
      <c r="B42" s="14" t="n">
        <v>60</v>
      </c>
      <c r="C42" s="14" t="n">
        <v>250</v>
      </c>
      <c r="D42" s="18" t="n">
        <v>0.9422776911076444</v>
      </c>
      <c r="E42" s="18" t="n">
        <v>0.0637259480665047</v>
      </c>
    </row>
    <row r="43">
      <c r="A43" s="13" t="n">
        <v>50</v>
      </c>
      <c r="B43" s="14" t="n">
        <v>60</v>
      </c>
      <c r="C43" s="14" t="n">
        <v>500</v>
      </c>
      <c r="D43" s="18" t="n">
        <v>0.9422776911076444</v>
      </c>
      <c r="E43" s="18" t="n">
        <v>0.0637259480665047</v>
      </c>
    </row>
    <row r="44">
      <c r="A44" s="13" t="n">
        <v>50</v>
      </c>
      <c r="B44" s="14" t="n">
        <v>60</v>
      </c>
      <c r="C44" s="14" t="n">
        <v>0</v>
      </c>
      <c r="D44" s="18" t="n">
        <v>0.9422776911076444</v>
      </c>
      <c r="E44" s="18" t="n">
        <v>0.0637259480665047</v>
      </c>
    </row>
    <row r="45">
      <c r="A45" s="13" t="n">
        <v>100</v>
      </c>
      <c r="B45" s="14" t="n">
        <v>60</v>
      </c>
      <c r="C45" s="14" t="n">
        <v>750</v>
      </c>
      <c r="D45" s="18" t="n">
        <v>0.9372128637059725</v>
      </c>
      <c r="E45" s="18" t="n">
        <v>0.06419297590136371</v>
      </c>
    </row>
    <row r="46">
      <c r="A46" s="13" t="n">
        <v>0</v>
      </c>
      <c r="B46" s="14" t="n">
        <v>240</v>
      </c>
      <c r="C46" s="14" t="n">
        <v>750</v>
      </c>
      <c r="D46" s="18" t="n">
        <v>0.9323308270676692</v>
      </c>
      <c r="E46" s="18" t="n">
        <v>0.0646600037362226</v>
      </c>
    </row>
    <row r="47">
      <c r="A47" s="13" t="n">
        <v>0</v>
      </c>
      <c r="B47" s="14" t="n">
        <v>60</v>
      </c>
      <c r="C47" s="14" t="n">
        <v>500</v>
      </c>
      <c r="D47" s="18" t="n">
        <v>0.9433962264150944</v>
      </c>
      <c r="E47" s="18" t="n">
        <v>0.06473005791145151</v>
      </c>
    </row>
    <row r="48">
      <c r="A48" s="13" t="n">
        <v>50</v>
      </c>
      <c r="B48" s="14" t="n">
        <v>120</v>
      </c>
      <c r="C48" s="14" t="n">
        <v>1000</v>
      </c>
      <c r="D48" s="18" t="n">
        <v>0.9311377245508982</v>
      </c>
      <c r="E48" s="18" t="n">
        <v>0.0647767606949374</v>
      </c>
    </row>
    <row r="49">
      <c r="A49" s="13" t="n">
        <v>200</v>
      </c>
      <c r="B49" s="14" t="n">
        <v>120</v>
      </c>
      <c r="C49" s="14" t="n">
        <v>500</v>
      </c>
      <c r="D49" s="18" t="n">
        <v>0.9311377245508982</v>
      </c>
      <c r="E49" s="18" t="n">
        <v>0.0647767606949374</v>
      </c>
    </row>
    <row r="50">
      <c r="A50" s="13" t="n">
        <v>50</v>
      </c>
      <c r="B50" s="14" t="n">
        <v>60</v>
      </c>
      <c r="C50" s="14" t="n">
        <v>750</v>
      </c>
      <c r="D50" s="18" t="n">
        <v>0.9395348837209302</v>
      </c>
      <c r="E50" s="18" t="n">
        <v>0.0650803287875957</v>
      </c>
    </row>
    <row r="51">
      <c r="A51" s="13" t="n">
        <v>0</v>
      </c>
      <c r="B51" s="14" t="n">
        <v>240</v>
      </c>
      <c r="C51" s="14" t="n">
        <v>500</v>
      </c>
      <c r="D51" s="18" t="n">
        <v>0.9345509893455098</v>
      </c>
      <c r="E51" s="18" t="n">
        <v>0.0655473566224547</v>
      </c>
    </row>
    <row r="52">
      <c r="A52" s="13" t="n">
        <v>0</v>
      </c>
      <c r="B52" s="14" t="n">
        <v>60</v>
      </c>
      <c r="C52" s="14" t="n">
        <v>750</v>
      </c>
      <c r="D52" s="18" t="n">
        <v>0.940625</v>
      </c>
      <c r="E52" s="18" t="n">
        <v>0.0660844386325425</v>
      </c>
    </row>
    <row r="53">
      <c r="A53" s="13" t="n">
        <v>0</v>
      </c>
      <c r="B53" s="14" t="n">
        <v>120</v>
      </c>
      <c r="C53" s="14" t="n">
        <v>1000</v>
      </c>
      <c r="D53" s="18" t="n">
        <v>0.9307228915662652</v>
      </c>
      <c r="E53" s="18" t="n">
        <v>0.0670184943022604</v>
      </c>
    </row>
    <row r="54">
      <c r="A54" s="13" t="n">
        <v>100</v>
      </c>
      <c r="B54" s="14" t="n">
        <v>60</v>
      </c>
      <c r="C54" s="14" t="n">
        <v>1000</v>
      </c>
      <c r="D54" s="18" t="n">
        <v>0.929535232383808</v>
      </c>
      <c r="E54" s="18" t="n">
        <v>0.0671352512609751</v>
      </c>
    </row>
    <row r="55">
      <c r="A55" s="13" t="n">
        <v>100</v>
      </c>
      <c r="B55" s="14" t="n">
        <v>240</v>
      </c>
      <c r="C55" s="14" t="n">
        <v>750</v>
      </c>
      <c r="D55" s="18" t="n">
        <v>0.9248895434462444</v>
      </c>
      <c r="E55" s="18" t="n">
        <v>0.06760227909583411</v>
      </c>
    </row>
    <row r="56">
      <c r="A56" s="13" t="n">
        <v>200</v>
      </c>
      <c r="B56" s="14" t="n">
        <v>60</v>
      </c>
      <c r="C56" s="14" t="n">
        <v>750</v>
      </c>
      <c r="D56" s="18" t="n">
        <v>0.9293233082706768</v>
      </c>
      <c r="E56" s="18" t="n">
        <v>0.06825611806463661</v>
      </c>
    </row>
    <row r="57">
      <c r="A57" s="13" t="n">
        <v>200</v>
      </c>
      <c r="B57" s="14" t="n">
        <v>240</v>
      </c>
      <c r="C57" s="14" t="n">
        <v>250</v>
      </c>
      <c r="D57" s="18" t="n">
        <v>0.9258160237388724</v>
      </c>
      <c r="E57" s="18" t="n">
        <v>0.0686063889407808</v>
      </c>
    </row>
    <row r="58">
      <c r="A58" s="13" t="n">
        <v>200</v>
      </c>
      <c r="B58" s="14" t="n">
        <v>240</v>
      </c>
      <c r="C58" s="14" t="n">
        <v>0</v>
      </c>
      <c r="D58" s="18" t="n">
        <v>0.9258160237388724</v>
      </c>
      <c r="E58" s="18" t="n">
        <v>0.0686063889407808</v>
      </c>
    </row>
    <row r="59">
      <c r="A59" s="13" t="n">
        <v>50</v>
      </c>
      <c r="B59" s="14" t="n">
        <v>60</v>
      </c>
      <c r="C59" s="14" t="n">
        <v>1000</v>
      </c>
      <c r="D59" s="18" t="n">
        <v>0.9291101055806938</v>
      </c>
      <c r="E59" s="18" t="n">
        <v>0.0693769848682981</v>
      </c>
    </row>
    <row r="60">
      <c r="A60" s="13" t="n">
        <v>100</v>
      </c>
      <c r="B60" s="14" t="n">
        <v>0</v>
      </c>
      <c r="C60" s="14" t="n">
        <v>750</v>
      </c>
      <c r="D60" s="18" t="n">
        <v>0.9362363919129082</v>
      </c>
      <c r="E60" s="18" t="n">
        <v>0.0697973099196712</v>
      </c>
    </row>
    <row r="61">
      <c r="A61" s="13" t="n">
        <v>0</v>
      </c>
      <c r="B61" s="14" t="n">
        <v>0</v>
      </c>
      <c r="C61" s="14" t="n">
        <v>1000</v>
      </c>
      <c r="D61" s="18" t="n">
        <v>0.9362363919129082</v>
      </c>
      <c r="E61" s="18" t="n">
        <v>0.0697973099196712</v>
      </c>
    </row>
    <row r="62">
      <c r="A62" s="13" t="n">
        <v>200</v>
      </c>
      <c r="B62" s="14" t="n">
        <v>60</v>
      </c>
      <c r="C62" s="14" t="n">
        <v>250</v>
      </c>
      <c r="D62" s="18" t="n">
        <v>0.931297709923664</v>
      </c>
      <c r="E62" s="18" t="n">
        <v>0.0702643377545301</v>
      </c>
    </row>
    <row r="63">
      <c r="A63" s="13" t="n">
        <v>200</v>
      </c>
      <c r="B63" s="14" t="n">
        <v>60</v>
      </c>
      <c r="C63" s="14" t="n">
        <v>0</v>
      </c>
      <c r="D63" s="18" t="n">
        <v>0.931297709923664</v>
      </c>
      <c r="E63" s="18" t="n">
        <v>0.0702643377545301</v>
      </c>
    </row>
    <row r="64">
      <c r="A64" s="13" t="n">
        <v>0</v>
      </c>
      <c r="B64" s="14" t="n">
        <v>60</v>
      </c>
      <c r="C64" s="14" t="n">
        <v>1000</v>
      </c>
      <c r="D64" s="18" t="n">
        <v>0.9300911854103344</v>
      </c>
      <c r="E64" s="18" t="n">
        <v>0.0703810947132449</v>
      </c>
    </row>
    <row r="65">
      <c r="A65" s="13" t="n">
        <v>200</v>
      </c>
      <c r="B65" s="14" t="n">
        <v>240</v>
      </c>
      <c r="C65" s="14" t="n">
        <v>500</v>
      </c>
      <c r="D65" s="18" t="n">
        <v>0.9219440353460971</v>
      </c>
      <c r="E65" s="18" t="n">
        <v>0.071198393424248</v>
      </c>
    </row>
    <row r="66">
      <c r="A66" s="13" t="n">
        <v>0</v>
      </c>
      <c r="B66" s="14" t="n">
        <v>240</v>
      </c>
      <c r="C66" s="14" t="n">
        <v>1000</v>
      </c>
      <c r="D66" s="18" t="n">
        <v>0.9239940387481372</v>
      </c>
      <c r="E66" s="18" t="n">
        <v>0.07208574631048011</v>
      </c>
    </row>
    <row r="67">
      <c r="A67" s="13" t="n">
        <v>200</v>
      </c>
      <c r="B67" s="14" t="n">
        <v>120</v>
      </c>
      <c r="C67" s="14" t="n">
        <v>750</v>
      </c>
      <c r="D67" s="18" t="n">
        <v>0.9205882352941176</v>
      </c>
      <c r="E67" s="18" t="n">
        <v>0.0724360171866243</v>
      </c>
    </row>
    <row r="68">
      <c r="A68" s="13" t="n">
        <v>200</v>
      </c>
      <c r="B68" s="14" t="n">
        <v>60</v>
      </c>
      <c r="C68" s="14" t="n">
        <v>500</v>
      </c>
      <c r="D68" s="18" t="n">
        <v>0.928462709284627</v>
      </c>
      <c r="E68" s="18" t="n">
        <v>0.07273958527928261</v>
      </c>
    </row>
    <row r="69">
      <c r="A69" s="13" t="n">
        <v>100</v>
      </c>
      <c r="B69" s="14" t="n">
        <v>0</v>
      </c>
      <c r="C69" s="14" t="n">
        <v>500</v>
      </c>
      <c r="D69" s="18" t="n">
        <v>0.9356357927786501</v>
      </c>
      <c r="E69" s="18" t="n">
        <v>0.07315991033065571</v>
      </c>
    </row>
    <row r="70">
      <c r="A70" s="13" t="n">
        <v>100</v>
      </c>
      <c r="B70" s="14" t="n">
        <v>0</v>
      </c>
      <c r="C70" s="14" t="n">
        <v>250</v>
      </c>
      <c r="D70" s="18" t="n">
        <v>0.9356357927786501</v>
      </c>
      <c r="E70" s="18" t="n">
        <v>0.07315991033065571</v>
      </c>
    </row>
    <row r="71">
      <c r="A71" s="13" t="n">
        <v>100</v>
      </c>
      <c r="B71" s="14" t="n">
        <v>0</v>
      </c>
      <c r="C71" s="14" t="n">
        <v>0</v>
      </c>
      <c r="D71" s="18" t="n">
        <v>0.9356357927786501</v>
      </c>
      <c r="E71" s="18" t="n">
        <v>0.07315991033065571</v>
      </c>
    </row>
    <row r="72">
      <c r="A72" s="13" t="n">
        <v>100</v>
      </c>
      <c r="B72" s="14" t="n">
        <v>0</v>
      </c>
      <c r="C72" s="14" t="n">
        <v>1000</v>
      </c>
      <c r="D72" s="18" t="n">
        <v>0.9258698940998488</v>
      </c>
      <c r="E72" s="18" t="n">
        <v>0.0740939660003736</v>
      </c>
    </row>
    <row r="73">
      <c r="A73" s="13" t="n">
        <v>50</v>
      </c>
      <c r="B73" s="14" t="n">
        <v>240</v>
      </c>
      <c r="C73" s="14" t="n">
        <v>1000</v>
      </c>
      <c r="D73" s="18" t="n">
        <v>0.9178885630498532</v>
      </c>
      <c r="E73" s="18" t="n">
        <v>0.0749112647113768</v>
      </c>
    </row>
    <row r="74">
      <c r="A74" s="13" t="n">
        <v>100</v>
      </c>
      <c r="B74" s="14" t="n">
        <v>240</v>
      </c>
      <c r="C74" s="14" t="n">
        <v>1000</v>
      </c>
      <c r="D74" s="18" t="n">
        <v>0.9167883211678832</v>
      </c>
      <c r="E74" s="18" t="n">
        <v>0.0750280216700915</v>
      </c>
    </row>
    <row r="75">
      <c r="A75" s="13" t="n">
        <v>50</v>
      </c>
      <c r="B75" s="14" t="n">
        <v>0</v>
      </c>
      <c r="C75" s="14" t="n">
        <v>500</v>
      </c>
      <c r="D75" s="18" t="n">
        <v>0.9352290679304898</v>
      </c>
      <c r="E75" s="18" t="n">
        <v>0.0754016439379787</v>
      </c>
    </row>
    <row r="76">
      <c r="A76" s="13" t="n">
        <v>50</v>
      </c>
      <c r="B76" s="14" t="n">
        <v>0</v>
      </c>
      <c r="C76" s="14" t="n">
        <v>0</v>
      </c>
      <c r="D76" s="18" t="n">
        <v>0.9352290679304898</v>
      </c>
      <c r="E76" s="18" t="n">
        <v>0.0754016439379787</v>
      </c>
    </row>
    <row r="77">
      <c r="A77" s="13" t="n">
        <v>50</v>
      </c>
      <c r="B77" s="14" t="n">
        <v>0</v>
      </c>
      <c r="C77" s="14" t="n">
        <v>250</v>
      </c>
      <c r="D77" s="18" t="n">
        <v>0.9352290679304898</v>
      </c>
      <c r="E77" s="18" t="n">
        <v>0.0754016439379787</v>
      </c>
    </row>
    <row r="78">
      <c r="A78" s="13" t="n">
        <v>50</v>
      </c>
      <c r="B78" s="14" t="n">
        <v>0</v>
      </c>
      <c r="C78" s="14" t="n">
        <v>1000</v>
      </c>
      <c r="D78" s="18" t="n">
        <v>0.9254185692541856</v>
      </c>
      <c r="E78" s="18" t="n">
        <v>0.07633569960769659</v>
      </c>
    </row>
    <row r="79">
      <c r="A79" s="13" t="n">
        <v>0</v>
      </c>
      <c r="B79" s="14" t="n">
        <v>0</v>
      </c>
      <c r="C79" s="14" t="n">
        <v>0</v>
      </c>
      <c r="D79" s="18" t="n">
        <v>0.9363057324840764</v>
      </c>
      <c r="E79" s="18" t="n">
        <v>0.0764057537829254</v>
      </c>
    </row>
    <row r="80">
      <c r="A80" s="13" t="n">
        <v>0</v>
      </c>
      <c r="B80" s="14" t="n">
        <v>0</v>
      </c>
      <c r="C80" s="14" t="n">
        <v>250</v>
      </c>
      <c r="D80" s="18" t="n">
        <v>0.9363057324840764</v>
      </c>
      <c r="E80" s="18" t="n">
        <v>0.0764057537829254</v>
      </c>
    </row>
    <row r="81">
      <c r="A81" s="13" t="n">
        <v>200</v>
      </c>
      <c r="B81" s="14" t="n">
        <v>60</v>
      </c>
      <c r="C81" s="14" t="n">
        <v>1000</v>
      </c>
      <c r="D81" s="18" t="n">
        <v>0.9185185185185184</v>
      </c>
      <c r="E81" s="18" t="n">
        <v>0.07703624135998501</v>
      </c>
    </row>
    <row r="82">
      <c r="A82" s="13" t="n">
        <v>200</v>
      </c>
      <c r="B82" s="14" t="n">
        <v>240</v>
      </c>
      <c r="C82" s="14" t="n">
        <v>750</v>
      </c>
      <c r="D82" s="18" t="n">
        <v>0.9141193595342066</v>
      </c>
      <c r="E82" s="18" t="n">
        <v>0.077503269194844</v>
      </c>
    </row>
    <row r="83">
      <c r="A83" s="13" t="n">
        <v>0</v>
      </c>
      <c r="B83" s="14" t="n">
        <v>0</v>
      </c>
      <c r="C83" s="14" t="n">
        <v>500</v>
      </c>
      <c r="D83" s="18" t="n">
        <v>0.9348171701112876</v>
      </c>
      <c r="E83" s="18" t="n">
        <v>0.07764337754530171</v>
      </c>
    </row>
    <row r="84">
      <c r="A84" s="13" t="n">
        <v>50</v>
      </c>
      <c r="B84" s="14" t="n">
        <v>0</v>
      </c>
      <c r="C84" s="14" t="n">
        <v>750</v>
      </c>
      <c r="D84" s="18" t="n">
        <v>0.9322834645669292</v>
      </c>
      <c r="E84" s="18" t="n">
        <v>0.07787689146273109</v>
      </c>
    </row>
    <row r="85">
      <c r="A85" s="13" t="n">
        <v>200</v>
      </c>
      <c r="B85" s="14" t="n">
        <v>0</v>
      </c>
      <c r="C85" s="14" t="n">
        <v>750</v>
      </c>
      <c r="D85" s="18" t="n">
        <v>0.923780487804878</v>
      </c>
      <c r="E85" s="18" t="n">
        <v>0.0786941901737343</v>
      </c>
    </row>
    <row r="86">
      <c r="A86" s="13" t="n">
        <v>0</v>
      </c>
      <c r="B86" s="14" t="n">
        <v>0</v>
      </c>
      <c r="C86" s="14" t="n">
        <v>750</v>
      </c>
      <c r="D86" s="18" t="n">
        <v>0.9318541996830428</v>
      </c>
      <c r="E86" s="18" t="n">
        <v>0.0801186250700541</v>
      </c>
    </row>
    <row r="87">
      <c r="A87" s="13" t="n">
        <v>200</v>
      </c>
      <c r="B87" s="14" t="n">
        <v>0</v>
      </c>
      <c r="C87" s="14" t="n">
        <v>0</v>
      </c>
      <c r="D87" s="18" t="n">
        <v>0.9242658423493044</v>
      </c>
      <c r="E87" s="18" t="n">
        <v>0.08194003362600411</v>
      </c>
    </row>
    <row r="88">
      <c r="A88" s="13" t="n">
        <v>200</v>
      </c>
      <c r="B88" s="14" t="n">
        <v>0</v>
      </c>
      <c r="C88" s="14" t="n">
        <v>250</v>
      </c>
      <c r="D88" s="18" t="n">
        <v>0.9242658423493044</v>
      </c>
      <c r="E88" s="18" t="n">
        <v>0.08194003362600411</v>
      </c>
    </row>
    <row r="89">
      <c r="A89" s="13" t="n">
        <v>200</v>
      </c>
      <c r="B89" s="14" t="n">
        <v>120</v>
      </c>
      <c r="C89" s="14" t="n">
        <v>1000</v>
      </c>
      <c r="D89" s="18" t="n">
        <v>0.9098837209302324</v>
      </c>
      <c r="E89" s="18" t="n">
        <v>0.0823370072856342</v>
      </c>
    </row>
    <row r="90">
      <c r="A90" s="13" t="n">
        <v>200</v>
      </c>
      <c r="B90" s="14" t="n">
        <v>0</v>
      </c>
      <c r="C90" s="14" t="n">
        <v>500</v>
      </c>
      <c r="D90" s="18" t="n">
        <v>0.9228395061728396</v>
      </c>
      <c r="E90" s="18" t="n">
        <v>0.0831776573883803</v>
      </c>
    </row>
    <row r="91">
      <c r="A91" s="13" t="n">
        <v>200</v>
      </c>
      <c r="B91" s="14" t="n">
        <v>0</v>
      </c>
      <c r="C91" s="14" t="n">
        <v>1000</v>
      </c>
      <c r="D91" s="18" t="n">
        <v>0.9147982062780268</v>
      </c>
      <c r="E91" s="18" t="n">
        <v>0.0839949560993835</v>
      </c>
    </row>
    <row r="92">
      <c r="A92" s="13" t="n">
        <v>200</v>
      </c>
      <c r="B92" s="14" t="n">
        <v>240</v>
      </c>
      <c r="C92" s="14" t="n">
        <v>1000</v>
      </c>
      <c r="D92" s="18" t="n">
        <v>0.9025787965616046</v>
      </c>
      <c r="E92" s="18" t="n">
        <v>0.0875210162525686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0" customWidth="1" min="4" max="4"/>
    <col width="10" customWidth="1" min="5" max="5"/>
    <col width="10" customWidth="1" min="6" max="6"/>
    <col width="9" customWidth="1" min="7" max="7"/>
    <col width="8" customWidth="1" min="8" max="8"/>
    <col width="7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Chỉ số theo từng file</t>
        </is>
      </c>
    </row>
    <row r="2"/>
    <row r="3"/>
    <row r="4">
      <c r="A4" s="12" t="inlineStr">
        <is>
          <t>file</t>
        </is>
      </c>
      <c r="B4" s="12" t="inlineStr">
        <is>
          <t>category</t>
        </is>
      </c>
      <c r="C4" s="12" t="inlineStr">
        <is>
          <t>split</t>
        </is>
      </c>
      <c r="D4" s="12" t="inlineStr">
        <is>
          <t>speech_ratio</t>
        </is>
      </c>
      <c r="E4" s="12" t="inlineStr">
        <is>
          <t>transitions</t>
        </is>
      </c>
      <c r="F4" s="12" t="inlineStr">
        <is>
          <t>boundary_frac</t>
        </is>
      </c>
      <c r="G4" s="12" t="inlineStr">
        <is>
          <t>auc_file</t>
        </is>
      </c>
      <c r="H4" s="12" t="inlineStr">
        <is>
          <t>snr_db</t>
        </is>
      </c>
      <c r="I4" s="12" t="inlineStr">
        <is>
          <t>seen</t>
        </is>
      </c>
      <c r="J4" s="12" t="inlineStr">
        <is>
          <t>degenerate</t>
        </is>
      </c>
      <c r="K4" s="12" t="inlineStr">
        <is>
          <t>injected_shift_s</t>
        </is>
      </c>
      <c r="L4" s="12" t="inlineStr">
        <is>
          <t>lag_s</t>
        </is>
      </c>
      <c r="M4" s="12" t="inlineStr">
        <is>
          <t>cờ_lag</t>
        </is>
      </c>
    </row>
    <row r="5">
      <c r="A5" s="13" t="inlineStr">
        <is>
          <t>Asm_1.txt</t>
        </is>
      </c>
      <c r="B5" s="14" t="inlineStr">
        <is>
          <t>Asm</t>
        </is>
      </c>
      <c r="C5" s="14" t="inlineStr">
        <is>
          <t>dev</t>
        </is>
      </c>
      <c r="D5" s="17" t="n">
        <v>0.7</v>
      </c>
      <c r="E5" s="14" t="n">
        <v>6</v>
      </c>
      <c r="F5" s="17" t="n">
        <v>0.6</v>
      </c>
      <c r="G5" s="25" t="inlineStr">
        <is>
          <t>0.9642857142857144</t>
        </is>
      </c>
      <c r="H5" s="14" t="n">
        <v>16.8</v>
      </c>
      <c r="I5" s="14" t="b">
        <v>0</v>
      </c>
      <c r="J5" s="14" t="b">
        <v>0</v>
      </c>
      <c r="K5" s="14" t="n">
        <v>0</v>
      </c>
      <c r="L5" s="14" t="n">
        <v>-0.12</v>
      </c>
      <c r="M5" s="14" t="inlineStr"/>
    </row>
    <row r="6">
      <c r="A6" s="13" t="inlineStr">
        <is>
          <t>Asm_10.txt</t>
        </is>
      </c>
      <c r="B6" s="14" t="inlineStr">
        <is>
          <t>Asm</t>
        </is>
      </c>
      <c r="C6" s="14" t="inlineStr">
        <is>
          <t>test</t>
        </is>
      </c>
      <c r="D6" s="17" t="n">
        <v>0.4</v>
      </c>
      <c r="E6" s="14" t="n">
        <v>6</v>
      </c>
      <c r="F6" s="17" t="n">
        <v>0.6</v>
      </c>
      <c r="G6" s="25" t="inlineStr">
        <is>
          <t>0.9791666666666667</t>
        </is>
      </c>
      <c r="H6" s="14" t="n">
        <v>26.6</v>
      </c>
      <c r="I6" s="14" t="b">
        <v>0</v>
      </c>
      <c r="J6" s="14" t="b">
        <v>0</v>
      </c>
      <c r="K6" s="14" t="n">
        <v>0</v>
      </c>
      <c r="L6" s="14" t="n">
        <v>-0.16</v>
      </c>
      <c r="M6" s="14" t="inlineStr"/>
    </row>
    <row r="7">
      <c r="A7" s="13" t="inlineStr">
        <is>
          <t>Asm_11.txt</t>
        </is>
      </c>
      <c r="B7" s="14" t="inlineStr">
        <is>
          <t>Asm</t>
        </is>
      </c>
      <c r="C7" s="14" t="inlineStr">
        <is>
          <t>dev</t>
        </is>
      </c>
      <c r="D7" s="17" t="n">
        <v>0.6</v>
      </c>
      <c r="E7" s="14" t="n">
        <v>4</v>
      </c>
      <c r="F7" s="17" t="n">
        <v>0.4</v>
      </c>
      <c r="G7" s="25" t="inlineStr">
        <is>
          <t>1.0</t>
        </is>
      </c>
      <c r="H7" s="14" t="n">
        <v>19.8</v>
      </c>
      <c r="I7" s="14" t="b">
        <v>0</v>
      </c>
      <c r="J7" s="14" t="b">
        <v>0</v>
      </c>
      <c r="K7" s="14" t="n">
        <v>0</v>
      </c>
      <c r="L7" s="14" t="n">
        <v>0.02</v>
      </c>
      <c r="M7" s="14" t="inlineStr"/>
    </row>
    <row r="8">
      <c r="A8" s="13" t="inlineStr">
        <is>
          <t>Asm_12.txt</t>
        </is>
      </c>
      <c r="B8" s="14" t="inlineStr">
        <is>
          <t>Asm</t>
        </is>
      </c>
      <c r="C8" s="14" t="inlineStr">
        <is>
          <t>test</t>
        </is>
      </c>
      <c r="D8" s="17" t="n">
        <v>0.3</v>
      </c>
      <c r="E8" s="14" t="n">
        <v>6</v>
      </c>
      <c r="F8" s="17" t="n">
        <v>0.55</v>
      </c>
      <c r="G8" s="25" t="inlineStr">
        <is>
          <t>1.0</t>
        </is>
      </c>
      <c r="H8" s="14" t="n">
        <v>17.6</v>
      </c>
      <c r="I8" s="14" t="b">
        <v>0</v>
      </c>
      <c r="J8" s="14" t="b">
        <v>0</v>
      </c>
      <c r="K8" s="14" t="n">
        <v>0</v>
      </c>
      <c r="L8" s="14" t="n">
        <v>0</v>
      </c>
      <c r="M8" s="14" t="inlineStr"/>
    </row>
    <row r="9">
      <c r="A9" s="13" t="inlineStr">
        <is>
          <t>Asm_13.txt</t>
        </is>
      </c>
      <c r="B9" s="14" t="inlineStr">
        <is>
          <t>Asm</t>
        </is>
      </c>
      <c r="C9" s="14" t="inlineStr">
        <is>
          <t>seen (loại)</t>
        </is>
      </c>
      <c r="D9" s="17" t="n">
        <v>0.55</v>
      </c>
      <c r="E9" s="14" t="n">
        <v>5</v>
      </c>
      <c r="F9" s="17" t="n">
        <v>0.45</v>
      </c>
      <c r="G9" s="25" t="inlineStr">
        <is>
          <t>1.0</t>
        </is>
      </c>
      <c r="H9" s="14" t="n">
        <v>28</v>
      </c>
      <c r="I9" s="14" t="b">
        <v>1</v>
      </c>
      <c r="J9" s="14" t="b">
        <v>0</v>
      </c>
      <c r="K9" s="14" t="n">
        <v>0</v>
      </c>
      <c r="L9" s="14" t="n">
        <v>-0.08</v>
      </c>
      <c r="M9" s="14" t="inlineStr"/>
    </row>
    <row r="10">
      <c r="A10" s="13" t="inlineStr">
        <is>
          <t>Asm_14.txt</t>
        </is>
      </c>
      <c r="B10" s="14" t="inlineStr">
        <is>
          <t>Asm</t>
        </is>
      </c>
      <c r="C10" s="14" t="inlineStr">
        <is>
          <t>dev</t>
        </is>
      </c>
      <c r="D10" s="17" t="n">
        <v>0.6</v>
      </c>
      <c r="E10" s="14" t="n">
        <v>4</v>
      </c>
      <c r="F10" s="17" t="n">
        <v>0.4</v>
      </c>
      <c r="G10" s="25" t="inlineStr">
        <is>
          <t>1.0</t>
        </is>
      </c>
      <c r="H10" s="14" t="n">
        <v>27.9</v>
      </c>
      <c r="I10" s="14" t="b">
        <v>0</v>
      </c>
      <c r="J10" s="14" t="b">
        <v>0</v>
      </c>
      <c r="K10" s="14" t="n">
        <v>0</v>
      </c>
      <c r="L10" s="14" t="n">
        <v>0.08</v>
      </c>
      <c r="M10" s="14" t="inlineStr"/>
    </row>
    <row r="11">
      <c r="A11" s="13" t="inlineStr">
        <is>
          <t>Asm_15.txt</t>
        </is>
      </c>
      <c r="B11" s="14" t="inlineStr">
        <is>
          <t>Asm</t>
        </is>
      </c>
      <c r="C11" s="14" t="inlineStr">
        <is>
          <t>seen (loại)</t>
        </is>
      </c>
      <c r="D11" s="17" t="n">
        <v>0.65</v>
      </c>
      <c r="E11" s="14" t="n">
        <v>5</v>
      </c>
      <c r="F11" s="17" t="n">
        <v>0.5</v>
      </c>
      <c r="G11" s="25" t="inlineStr">
        <is>
          <t>1.0</t>
        </is>
      </c>
      <c r="H11" s="14" t="n">
        <v>21.7</v>
      </c>
      <c r="I11" s="14" t="b">
        <v>1</v>
      </c>
      <c r="J11" s="14" t="b">
        <v>0</v>
      </c>
      <c r="K11" s="14" t="n">
        <v>0</v>
      </c>
      <c r="L11" s="14" t="n">
        <v>0.06</v>
      </c>
      <c r="M11" s="14" t="inlineStr"/>
    </row>
    <row r="12">
      <c r="A12" s="13" t="inlineStr">
        <is>
          <t>Asm_16.txt</t>
        </is>
      </c>
      <c r="B12" s="14" t="inlineStr">
        <is>
          <t>Asm</t>
        </is>
      </c>
      <c r="C12" s="14" t="inlineStr">
        <is>
          <t>dev</t>
        </is>
      </c>
      <c r="D12" s="17" t="n">
        <v>0.4</v>
      </c>
      <c r="E12" s="14" t="n">
        <v>4</v>
      </c>
      <c r="F12" s="17" t="n">
        <v>0.4</v>
      </c>
      <c r="G12" s="25" t="inlineStr">
        <is>
          <t>1.0</t>
        </is>
      </c>
      <c r="H12" s="14" t="n">
        <v>26.6</v>
      </c>
      <c r="I12" s="14" t="b">
        <v>0</v>
      </c>
      <c r="J12" s="14" t="b">
        <v>0</v>
      </c>
      <c r="K12" s="14" t="n">
        <v>0</v>
      </c>
      <c r="L12" s="14" t="n">
        <v>-0.08</v>
      </c>
      <c r="M12" s="14" t="inlineStr"/>
    </row>
    <row r="13">
      <c r="A13" s="13" t="inlineStr">
        <is>
          <t>Asm_17.txt</t>
        </is>
      </c>
      <c r="B13" s="14" t="inlineStr">
        <is>
          <t>Asm</t>
        </is>
      </c>
      <c r="C13" s="14" t="inlineStr">
        <is>
          <t>test</t>
        </is>
      </c>
      <c r="D13" s="17" t="n">
        <v>0.65</v>
      </c>
      <c r="E13" s="14" t="n">
        <v>6</v>
      </c>
      <c r="F13" s="17" t="n">
        <v>0.55</v>
      </c>
      <c r="G13" s="25" t="inlineStr">
        <is>
          <t>0.9560439560439561</t>
        </is>
      </c>
      <c r="H13" s="14" t="n">
        <v>16.4</v>
      </c>
      <c r="I13" s="14" t="b">
        <v>0</v>
      </c>
      <c r="J13" s="14" t="b">
        <v>0</v>
      </c>
      <c r="K13" s="14" t="n">
        <v>0</v>
      </c>
      <c r="L13" s="14" t="n">
        <v>0.02</v>
      </c>
      <c r="M13" s="14" t="inlineStr"/>
    </row>
    <row r="14">
      <c r="A14" s="13" t="inlineStr">
        <is>
          <t>Asm_18.txt</t>
        </is>
      </c>
      <c r="B14" s="14" t="inlineStr">
        <is>
          <t>Asm</t>
        </is>
      </c>
      <c r="C14" s="14" t="inlineStr">
        <is>
          <t>seen (loại)</t>
        </is>
      </c>
      <c r="D14" s="17" t="n">
        <v>0.5</v>
      </c>
      <c r="E14" s="14" t="n">
        <v>4</v>
      </c>
      <c r="F14" s="17" t="n">
        <v>0.4</v>
      </c>
      <c r="G14" s="25" t="inlineStr">
        <is>
          <t>1.0</t>
        </is>
      </c>
      <c r="H14" s="14" t="n">
        <v>22.9</v>
      </c>
      <c r="I14" s="14" t="b">
        <v>1</v>
      </c>
      <c r="J14" s="14" t="b">
        <v>0</v>
      </c>
      <c r="K14" s="14" t="n">
        <v>0</v>
      </c>
      <c r="L14" s="14" t="n">
        <v>-0.02</v>
      </c>
      <c r="M14" s="14" t="inlineStr"/>
    </row>
    <row r="15">
      <c r="A15" s="13" t="inlineStr">
        <is>
          <t>Asm_19.txt</t>
        </is>
      </c>
      <c r="B15" s="14" t="inlineStr">
        <is>
          <t>Asm</t>
        </is>
      </c>
      <c r="C15" s="14" t="inlineStr">
        <is>
          <t>test</t>
        </is>
      </c>
      <c r="D15" s="17" t="n">
        <v>0.6</v>
      </c>
      <c r="E15" s="14" t="n">
        <v>7</v>
      </c>
      <c r="F15" s="17" t="n">
        <v>0.65</v>
      </c>
      <c r="G15" s="25" t="inlineStr">
        <is>
          <t>0.9895833333333334</t>
        </is>
      </c>
      <c r="H15" s="14" t="n">
        <v>22.7</v>
      </c>
      <c r="I15" s="14" t="b">
        <v>0</v>
      </c>
      <c r="J15" s="14" t="b">
        <v>0</v>
      </c>
      <c r="K15" s="14" t="n">
        <v>0</v>
      </c>
      <c r="L15" s="14" t="n">
        <v>0.12</v>
      </c>
      <c r="M15" s="14" t="inlineStr"/>
    </row>
    <row r="16">
      <c r="A16" s="13" t="inlineStr">
        <is>
          <t>Asm_2.txt</t>
        </is>
      </c>
      <c r="B16" s="14" t="inlineStr">
        <is>
          <t>Asm</t>
        </is>
      </c>
      <c r="C16" s="14" t="inlineStr">
        <is>
          <t>seen (loại)</t>
        </is>
      </c>
      <c r="D16" s="17" t="n">
        <v>1</v>
      </c>
      <c r="E16" s="14" t="n">
        <v>0</v>
      </c>
      <c r="F16" s="17" t="n">
        <v>0</v>
      </c>
      <c r="G16" s="25" t="inlineStr"/>
      <c r="H16" s="14" t="n">
        <v>29.3</v>
      </c>
      <c r="I16" s="14" t="b">
        <v>1</v>
      </c>
      <c r="J16" s="14" t="b">
        <v>1</v>
      </c>
      <c r="K16" s="14" t="n">
        <v>0</v>
      </c>
      <c r="L16" s="14" t="n"/>
      <c r="M16" s="14" t="n"/>
    </row>
    <row r="17">
      <c r="A17" s="13" t="inlineStr">
        <is>
          <t>Asm_20.txt</t>
        </is>
      </c>
      <c r="B17" s="14" t="inlineStr">
        <is>
          <t>Asm</t>
        </is>
      </c>
      <c r="C17" s="14" t="inlineStr">
        <is>
          <t>test</t>
        </is>
      </c>
      <c r="D17" s="17" t="n">
        <v>0.7</v>
      </c>
      <c r="E17" s="14" t="n">
        <v>5</v>
      </c>
      <c r="F17" s="17" t="n">
        <v>0.45</v>
      </c>
      <c r="G17" s="25" t="inlineStr">
        <is>
          <t>1.0</t>
        </is>
      </c>
      <c r="H17" s="14" t="n">
        <v>20.8</v>
      </c>
      <c r="I17" s="14" t="b">
        <v>0</v>
      </c>
      <c r="J17" s="14" t="b">
        <v>0</v>
      </c>
      <c r="K17" s="14" t="n">
        <v>0</v>
      </c>
      <c r="L17" s="14" t="n">
        <v>-0.02</v>
      </c>
      <c r="M17" s="14" t="inlineStr"/>
    </row>
    <row r="18">
      <c r="A18" s="13" t="inlineStr">
        <is>
          <t>Asm_21.txt</t>
        </is>
      </c>
      <c r="B18" s="14" t="inlineStr">
        <is>
          <t>Asm</t>
        </is>
      </c>
      <c r="C18" s="14" t="inlineStr">
        <is>
          <t>dev</t>
        </is>
      </c>
      <c r="D18" s="17" t="n">
        <v>1</v>
      </c>
      <c r="E18" s="14" t="n">
        <v>0</v>
      </c>
      <c r="F18" s="17" t="n">
        <v>0</v>
      </c>
      <c r="G18" s="25" t="inlineStr"/>
      <c r="H18" s="14" t="n">
        <v>19.1</v>
      </c>
      <c r="I18" s="14" t="b">
        <v>0</v>
      </c>
      <c r="J18" s="14" t="b">
        <v>1</v>
      </c>
      <c r="K18" s="14" t="n">
        <v>0</v>
      </c>
      <c r="L18" s="14" t="n"/>
      <c r="M18" s="14" t="n"/>
    </row>
    <row r="19">
      <c r="A19" s="13" t="inlineStr">
        <is>
          <t>Asm_22.txt</t>
        </is>
      </c>
      <c r="B19" s="14" t="inlineStr">
        <is>
          <t>Asm</t>
        </is>
      </c>
      <c r="C19" s="14" t="inlineStr">
        <is>
          <t>test</t>
        </is>
      </c>
      <c r="D19" s="17" t="n">
        <v>0.5</v>
      </c>
      <c r="E19" s="14" t="n">
        <v>7</v>
      </c>
      <c r="F19" s="17" t="n">
        <v>0.7</v>
      </c>
      <c r="G19" s="25" t="inlineStr">
        <is>
          <t>1.0</t>
        </is>
      </c>
      <c r="H19" s="14" t="n">
        <v>29</v>
      </c>
      <c r="I19" s="14" t="b">
        <v>0</v>
      </c>
      <c r="J19" s="14" t="b">
        <v>0</v>
      </c>
      <c r="K19" s="14" t="n">
        <v>0</v>
      </c>
      <c r="L19" s="14" t="n">
        <v>-0.02</v>
      </c>
      <c r="M19" s="14" t="inlineStr"/>
    </row>
    <row r="20">
      <c r="A20" s="13" t="inlineStr">
        <is>
          <t>Asm_23.txt</t>
        </is>
      </c>
      <c r="B20" s="14" t="inlineStr">
        <is>
          <t>Asm</t>
        </is>
      </c>
      <c r="C20" s="14" t="inlineStr">
        <is>
          <t>seen (loại)</t>
        </is>
      </c>
      <c r="D20" s="17" t="n">
        <v>0.8</v>
      </c>
      <c r="E20" s="14" t="n">
        <v>6</v>
      </c>
      <c r="F20" s="17" t="n">
        <v>0.5</v>
      </c>
      <c r="G20" s="25" t="inlineStr">
        <is>
          <t>1.0</t>
        </is>
      </c>
      <c r="H20" s="14" t="n">
        <v>21.8</v>
      </c>
      <c r="I20" s="14" t="b">
        <v>1</v>
      </c>
      <c r="J20" s="14" t="b">
        <v>0</v>
      </c>
      <c r="K20" s="14" t="n">
        <v>0</v>
      </c>
      <c r="L20" s="14" t="n">
        <v>-0.04</v>
      </c>
      <c r="M20" s="14" t="inlineStr"/>
    </row>
    <row r="21">
      <c r="A21" s="13" t="inlineStr">
        <is>
          <t>Asm_24.txt</t>
        </is>
      </c>
      <c r="B21" s="14" t="inlineStr">
        <is>
          <t>Asm</t>
        </is>
      </c>
      <c r="C21" s="14" t="inlineStr">
        <is>
          <t>seen (loại)</t>
        </is>
      </c>
      <c r="D21" s="17" t="n">
        <v>0.7</v>
      </c>
      <c r="E21" s="14" t="n">
        <v>7</v>
      </c>
      <c r="F21" s="17" t="n">
        <v>0.55</v>
      </c>
      <c r="G21" s="25" t="inlineStr">
        <is>
          <t>0.9761904761904763</t>
        </is>
      </c>
      <c r="H21" s="14" t="n">
        <v>16.1</v>
      </c>
      <c r="I21" s="14" t="b">
        <v>1</v>
      </c>
      <c r="J21" s="14" t="b">
        <v>0</v>
      </c>
      <c r="K21" s="14" t="n">
        <v>0</v>
      </c>
      <c r="L21" s="14" t="n">
        <v>0.12</v>
      </c>
      <c r="M21" s="14" t="inlineStr"/>
    </row>
    <row r="22">
      <c r="A22" s="13" t="inlineStr">
        <is>
          <t>Asm_25.txt</t>
        </is>
      </c>
      <c r="B22" s="14" t="inlineStr">
        <is>
          <t>Asm</t>
        </is>
      </c>
      <c r="C22" s="14" t="inlineStr">
        <is>
          <t>test</t>
        </is>
      </c>
      <c r="D22" s="17" t="n">
        <v>0.45</v>
      </c>
      <c r="E22" s="14" t="n">
        <v>7</v>
      </c>
      <c r="F22" s="17" t="n">
        <v>0.7</v>
      </c>
      <c r="G22" s="25" t="inlineStr">
        <is>
          <t>0.9696969696969697</t>
        </is>
      </c>
      <c r="H22" s="14" t="n">
        <v>24.3</v>
      </c>
      <c r="I22" s="14" t="b">
        <v>0</v>
      </c>
      <c r="J22" s="14" t="b">
        <v>0</v>
      </c>
      <c r="K22" s="14" t="n">
        <v>0</v>
      </c>
      <c r="L22" s="14" t="n">
        <v>0</v>
      </c>
      <c r="M22" s="14" t="inlineStr"/>
    </row>
    <row r="23">
      <c r="A23" s="13" t="inlineStr">
        <is>
          <t>Asm_26.txt</t>
        </is>
      </c>
      <c r="B23" s="14" t="inlineStr">
        <is>
          <t>Asm</t>
        </is>
      </c>
      <c r="C23" s="14" t="inlineStr">
        <is>
          <t>seen (loại)</t>
        </is>
      </c>
      <c r="D23" s="17" t="n">
        <v>0.6</v>
      </c>
      <c r="E23" s="14" t="n">
        <v>5</v>
      </c>
      <c r="F23" s="17" t="n">
        <v>0.5</v>
      </c>
      <c r="G23" s="25" t="inlineStr">
        <is>
          <t>1.0</t>
        </is>
      </c>
      <c r="H23" s="14" t="n">
        <v>27</v>
      </c>
      <c r="I23" s="14" t="b">
        <v>1</v>
      </c>
      <c r="J23" s="14" t="b">
        <v>0</v>
      </c>
      <c r="K23" s="14" t="n">
        <v>0</v>
      </c>
      <c r="L23" s="14" t="n">
        <v>-0.04</v>
      </c>
      <c r="M23" s="14" t="inlineStr"/>
    </row>
    <row r="24">
      <c r="A24" s="13" t="inlineStr">
        <is>
          <t>Asm_27.txt</t>
        </is>
      </c>
      <c r="B24" s="14" t="inlineStr">
        <is>
          <t>Asm</t>
        </is>
      </c>
      <c r="C24" s="14" t="inlineStr">
        <is>
          <t>seen (loại)</t>
        </is>
      </c>
      <c r="D24" s="17" t="n">
        <v>0.5</v>
      </c>
      <c r="E24" s="14" t="n">
        <v>7</v>
      </c>
      <c r="F24" s="17" t="n">
        <v>0.65</v>
      </c>
      <c r="G24" s="25" t="inlineStr">
        <is>
          <t>1.0</t>
        </is>
      </c>
      <c r="H24" s="14" t="n">
        <v>15.6</v>
      </c>
      <c r="I24" s="14" t="b">
        <v>1</v>
      </c>
      <c r="J24" s="14" t="b">
        <v>0</v>
      </c>
      <c r="K24" s="14" t="n">
        <v>0</v>
      </c>
      <c r="L24" s="14" t="n">
        <v>-0.04</v>
      </c>
      <c r="M24" s="14" t="inlineStr"/>
    </row>
    <row r="25">
      <c r="A25" s="13" t="inlineStr">
        <is>
          <t>Asm_28.txt</t>
        </is>
      </c>
      <c r="B25" s="14" t="inlineStr">
        <is>
          <t>Asm</t>
        </is>
      </c>
      <c r="C25" s="14" t="inlineStr">
        <is>
          <t>test</t>
        </is>
      </c>
      <c r="D25" s="17" t="n">
        <v>0.65</v>
      </c>
      <c r="E25" s="14" t="n">
        <v>3</v>
      </c>
      <c r="F25" s="17" t="n">
        <v>0.3</v>
      </c>
      <c r="G25" s="25" t="inlineStr">
        <is>
          <t>1.0</t>
        </is>
      </c>
      <c r="H25" s="14" t="n">
        <v>19.1</v>
      </c>
      <c r="I25" s="14" t="b">
        <v>0</v>
      </c>
      <c r="J25" s="14" t="b">
        <v>0</v>
      </c>
      <c r="K25" s="14" t="n">
        <v>0</v>
      </c>
      <c r="L25" s="14" t="n">
        <v>-0.1</v>
      </c>
      <c r="M25" s="14" t="inlineStr"/>
    </row>
    <row r="26">
      <c r="A26" s="13" t="inlineStr">
        <is>
          <t>Asm_29.txt</t>
        </is>
      </c>
      <c r="B26" s="14" t="inlineStr">
        <is>
          <t>Asm</t>
        </is>
      </c>
      <c r="C26" s="14" t="inlineStr">
        <is>
          <t>test</t>
        </is>
      </c>
      <c r="D26" s="17" t="n">
        <v>0.75</v>
      </c>
      <c r="E26" s="14" t="n">
        <v>7</v>
      </c>
      <c r="F26" s="17" t="n">
        <v>0.55</v>
      </c>
      <c r="G26" s="25" t="inlineStr">
        <is>
          <t>1.0</t>
        </is>
      </c>
      <c r="H26" s="14" t="n">
        <v>22.8</v>
      </c>
      <c r="I26" s="14" t="b">
        <v>0</v>
      </c>
      <c r="J26" s="14" t="b">
        <v>0</v>
      </c>
      <c r="K26" s="14" t="n">
        <v>0</v>
      </c>
      <c r="L26" s="14" t="n">
        <v>-0.06</v>
      </c>
      <c r="M26" s="14" t="inlineStr"/>
    </row>
    <row r="27">
      <c r="A27" s="13" t="inlineStr">
        <is>
          <t>Asm_3.txt</t>
        </is>
      </c>
      <c r="B27" s="14" t="inlineStr">
        <is>
          <t>Asm</t>
        </is>
      </c>
      <c r="C27" s="14" t="inlineStr">
        <is>
          <t>dev</t>
        </is>
      </c>
      <c r="D27" s="17" t="n">
        <v>0.35</v>
      </c>
      <c r="E27" s="14" t="n">
        <v>6</v>
      </c>
      <c r="F27" s="17" t="n">
        <v>0.5</v>
      </c>
      <c r="G27" s="25" t="inlineStr">
        <is>
          <t>0.989010989010989</t>
        </is>
      </c>
      <c r="H27" s="14" t="n">
        <v>20</v>
      </c>
      <c r="I27" s="14" t="b">
        <v>0</v>
      </c>
      <c r="J27" s="14" t="b">
        <v>0</v>
      </c>
      <c r="K27" s="14" t="n">
        <v>0</v>
      </c>
      <c r="L27" s="14" t="n">
        <v>0.08</v>
      </c>
      <c r="M27" s="14" t="inlineStr"/>
    </row>
    <row r="28">
      <c r="A28" s="13" t="inlineStr">
        <is>
          <t>Asm_30.txt</t>
        </is>
      </c>
      <c r="B28" s="14" t="inlineStr">
        <is>
          <t>Asm</t>
        </is>
      </c>
      <c r="C28" s="14" t="inlineStr">
        <is>
          <t>seen (loại)</t>
        </is>
      </c>
      <c r="D28" s="17" t="n">
        <v>0.5</v>
      </c>
      <c r="E28" s="14" t="n">
        <v>4</v>
      </c>
      <c r="F28" s="17" t="n">
        <v>0.4</v>
      </c>
      <c r="G28" s="25" t="inlineStr">
        <is>
          <t>1.0</t>
        </is>
      </c>
      <c r="H28" s="14" t="n">
        <v>26.5</v>
      </c>
      <c r="I28" s="14" t="b">
        <v>1</v>
      </c>
      <c r="J28" s="14" t="b">
        <v>0</v>
      </c>
      <c r="K28" s="14" t="n">
        <v>0</v>
      </c>
      <c r="L28" s="14" t="n">
        <v>0.08</v>
      </c>
      <c r="M28" s="14" t="inlineStr"/>
    </row>
    <row r="29">
      <c r="A29" s="13" t="inlineStr">
        <is>
          <t>Asm_4.txt</t>
        </is>
      </c>
      <c r="B29" s="14" t="inlineStr">
        <is>
          <t>Asm</t>
        </is>
      </c>
      <c r="C29" s="14" t="inlineStr">
        <is>
          <t>seen (loại)</t>
        </is>
      </c>
      <c r="D29" s="17" t="n">
        <v>0.55</v>
      </c>
      <c r="E29" s="14" t="n">
        <v>5</v>
      </c>
      <c r="F29" s="17" t="n">
        <v>0.45</v>
      </c>
      <c r="G29" s="25" t="inlineStr">
        <is>
          <t>0.9696969696969697</t>
        </is>
      </c>
      <c r="H29" s="14" t="n">
        <v>16.7</v>
      </c>
      <c r="I29" s="14" t="b">
        <v>1</v>
      </c>
      <c r="J29" s="14" t="b">
        <v>0</v>
      </c>
      <c r="K29" s="14" t="n">
        <v>0</v>
      </c>
      <c r="L29" s="14" t="n">
        <v>0.18</v>
      </c>
      <c r="M29" s="14" t="inlineStr"/>
    </row>
    <row r="30">
      <c r="A30" s="13" t="inlineStr">
        <is>
          <t>Asm_5.txt</t>
        </is>
      </c>
      <c r="B30" s="14" t="inlineStr">
        <is>
          <t>Asm</t>
        </is>
      </c>
      <c r="C30" s="14" t="inlineStr">
        <is>
          <t>dev</t>
        </is>
      </c>
      <c r="D30" s="17" t="n">
        <v>0.65</v>
      </c>
      <c r="E30" s="14" t="n">
        <v>4</v>
      </c>
      <c r="F30" s="17" t="n">
        <v>0.4</v>
      </c>
      <c r="G30" s="25" t="inlineStr">
        <is>
          <t>0.989010989010989</t>
        </is>
      </c>
      <c r="H30" s="14" t="n">
        <v>21</v>
      </c>
      <c r="I30" s="14" t="b">
        <v>0</v>
      </c>
      <c r="J30" s="14" t="b">
        <v>0</v>
      </c>
      <c r="K30" s="14" t="n">
        <v>0</v>
      </c>
      <c r="L30" s="14" t="n">
        <v>0.06</v>
      </c>
      <c r="M30" s="14" t="inlineStr"/>
    </row>
    <row r="31">
      <c r="A31" s="13" t="inlineStr">
        <is>
          <t>Asm_6.txt</t>
        </is>
      </c>
      <c r="B31" s="14" t="inlineStr">
        <is>
          <t>Asm</t>
        </is>
      </c>
      <c r="C31" s="14" t="inlineStr">
        <is>
          <t>seen (loại)</t>
        </is>
      </c>
      <c r="D31" s="17" t="n">
        <v>0.65</v>
      </c>
      <c r="E31" s="14" t="n">
        <v>7</v>
      </c>
      <c r="F31" s="17" t="n">
        <v>0.6</v>
      </c>
      <c r="G31" s="25" t="inlineStr">
        <is>
          <t>0.9560439560439561</t>
        </is>
      </c>
      <c r="H31" s="14" t="n">
        <v>17.5</v>
      </c>
      <c r="I31" s="14" t="b">
        <v>1</v>
      </c>
      <c r="J31" s="14" t="b">
        <v>0</v>
      </c>
      <c r="K31" s="14" t="n">
        <v>0</v>
      </c>
      <c r="L31" s="14" t="n">
        <v>0.04</v>
      </c>
      <c r="M31" s="14" t="inlineStr"/>
    </row>
    <row r="32">
      <c r="A32" s="13" t="inlineStr">
        <is>
          <t>Asm_7.txt</t>
        </is>
      </c>
      <c r="B32" s="14" t="inlineStr">
        <is>
          <t>Asm</t>
        </is>
      </c>
      <c r="C32" s="14" t="inlineStr">
        <is>
          <t>test</t>
        </is>
      </c>
      <c r="D32" s="17" t="n">
        <v>1</v>
      </c>
      <c r="E32" s="14" t="n">
        <v>0</v>
      </c>
      <c r="F32" s="17" t="n">
        <v>0</v>
      </c>
      <c r="G32" s="25" t="inlineStr"/>
      <c r="H32" s="14" t="n">
        <v>16.5</v>
      </c>
      <c r="I32" s="14" t="b">
        <v>0</v>
      </c>
      <c r="J32" s="14" t="b">
        <v>1</v>
      </c>
      <c r="K32" s="14" t="n">
        <v>0</v>
      </c>
      <c r="L32" s="14" t="n"/>
      <c r="M32" s="14" t="n"/>
    </row>
    <row r="33">
      <c r="A33" s="13" t="inlineStr">
        <is>
          <t>Asm_8.txt</t>
        </is>
      </c>
      <c r="B33" s="14" t="inlineStr">
        <is>
          <t>Asm</t>
        </is>
      </c>
      <c r="C33" s="14" t="inlineStr">
        <is>
          <t>test</t>
        </is>
      </c>
      <c r="D33" s="17" t="n">
        <v>0.7</v>
      </c>
      <c r="E33" s="14" t="n">
        <v>6</v>
      </c>
      <c r="F33" s="17" t="n">
        <v>0.5</v>
      </c>
      <c r="G33" s="25" t="inlineStr">
        <is>
          <t>1.0</t>
        </is>
      </c>
      <c r="H33" s="14" t="n">
        <v>23.1</v>
      </c>
      <c r="I33" s="14" t="b">
        <v>0</v>
      </c>
      <c r="J33" s="14" t="b">
        <v>0</v>
      </c>
      <c r="K33" s="14" t="n">
        <v>0</v>
      </c>
      <c r="L33" s="14" t="n">
        <v>-0.08</v>
      </c>
      <c r="M33" s="14" t="inlineStr"/>
    </row>
    <row r="34">
      <c r="A34" s="13" t="inlineStr">
        <is>
          <t>Asm_9.txt</t>
        </is>
      </c>
      <c r="B34" s="14" t="inlineStr">
        <is>
          <t>Asm</t>
        </is>
      </c>
      <c r="C34" s="14" t="inlineStr">
        <is>
          <t>test</t>
        </is>
      </c>
      <c r="D34" s="17" t="n">
        <v>0.4</v>
      </c>
      <c r="E34" s="14" t="n">
        <v>5</v>
      </c>
      <c r="F34" s="17" t="n">
        <v>0.5</v>
      </c>
      <c r="G34" s="25" t="inlineStr">
        <is>
          <t>1.0</t>
        </is>
      </c>
      <c r="H34" s="14" t="n">
        <v>20.9</v>
      </c>
      <c r="I34" s="14" t="b">
        <v>0</v>
      </c>
      <c r="J34" s="14" t="b">
        <v>0</v>
      </c>
      <c r="K34" s="14" t="n">
        <v>0</v>
      </c>
      <c r="L34" s="14" t="n">
        <v>-0.02</v>
      </c>
      <c r="M34" s="14" t="inlineStr"/>
    </row>
    <row r="35">
      <c r="A35" s="13" t="inlineStr">
        <is>
          <t>Babble_1.txt</t>
        </is>
      </c>
      <c r="B35" s="14" t="inlineStr">
        <is>
          <t>Babble</t>
        </is>
      </c>
      <c r="C35" s="14" t="inlineStr">
        <is>
          <t>test</t>
        </is>
      </c>
      <c r="D35" s="17" t="n">
        <v>0.55</v>
      </c>
      <c r="E35" s="14" t="n">
        <v>6</v>
      </c>
      <c r="F35" s="17" t="n">
        <v>0.5</v>
      </c>
      <c r="G35" s="25" t="inlineStr">
        <is>
          <t>0.7878787878787878</t>
        </is>
      </c>
      <c r="H35" s="14" t="n">
        <v>0.2</v>
      </c>
      <c r="I35" s="14" t="b">
        <v>0</v>
      </c>
      <c r="J35" s="14" t="b">
        <v>0</v>
      </c>
      <c r="K35" s="14" t="n">
        <v>0</v>
      </c>
      <c r="L35" s="14" t="n">
        <v>0.16</v>
      </c>
      <c r="M35" s="14" t="inlineStr"/>
    </row>
    <row r="36">
      <c r="A36" s="13" t="inlineStr">
        <is>
          <t>Babble_10.txt</t>
        </is>
      </c>
      <c r="B36" s="14" t="inlineStr">
        <is>
          <t>Babble</t>
        </is>
      </c>
      <c r="C36" s="14" t="inlineStr">
        <is>
          <t>dev</t>
        </is>
      </c>
      <c r="D36" s="17" t="n">
        <v>0.6</v>
      </c>
      <c r="E36" s="14" t="n">
        <v>6</v>
      </c>
      <c r="F36" s="17" t="n">
        <v>0.55</v>
      </c>
      <c r="G36" s="25" t="inlineStr">
        <is>
          <t>1.0</t>
        </is>
      </c>
      <c r="H36" s="14" t="n">
        <v>10.6</v>
      </c>
      <c r="I36" s="14" t="b">
        <v>0</v>
      </c>
      <c r="J36" s="14" t="b">
        <v>0</v>
      </c>
      <c r="K36" s="14" t="n">
        <v>0</v>
      </c>
      <c r="L36" s="14" t="n">
        <v>0.08</v>
      </c>
      <c r="M36" s="14" t="inlineStr"/>
    </row>
    <row r="37">
      <c r="A37" s="13" t="inlineStr">
        <is>
          <t>Babble_11.txt</t>
        </is>
      </c>
      <c r="B37" s="14" t="inlineStr">
        <is>
          <t>Babble</t>
        </is>
      </c>
      <c r="C37" s="14" t="inlineStr">
        <is>
          <t>seen (loại)</t>
        </is>
      </c>
      <c r="D37" s="17" t="n">
        <v>0.65</v>
      </c>
      <c r="E37" s="14" t="n">
        <v>6</v>
      </c>
      <c r="F37" s="17" t="n">
        <v>0.55</v>
      </c>
      <c r="G37" s="25" t="inlineStr">
        <is>
          <t>1.0</t>
        </is>
      </c>
      <c r="H37" s="14" t="n">
        <v>5.3</v>
      </c>
      <c r="I37" s="14" t="b">
        <v>1</v>
      </c>
      <c r="J37" s="14" t="b">
        <v>0</v>
      </c>
      <c r="K37" s="14" t="n">
        <v>0</v>
      </c>
      <c r="L37" s="14" t="n">
        <v>0.06</v>
      </c>
      <c r="M37" s="14" t="inlineStr"/>
    </row>
    <row r="38">
      <c r="A38" s="13" t="inlineStr">
        <is>
          <t>Babble_12.txt</t>
        </is>
      </c>
      <c r="B38" s="14" t="inlineStr">
        <is>
          <t>Babble</t>
        </is>
      </c>
      <c r="C38" s="14" t="inlineStr">
        <is>
          <t>test</t>
        </is>
      </c>
      <c r="D38" s="17" t="n">
        <v>0.7</v>
      </c>
      <c r="E38" s="14" t="n">
        <v>6</v>
      </c>
      <c r="F38" s="17" t="n">
        <v>0.5</v>
      </c>
      <c r="G38" s="25" t="inlineStr">
        <is>
          <t>0.9523809523809524</t>
        </is>
      </c>
      <c r="H38" s="14" t="n">
        <v>0.6</v>
      </c>
      <c r="I38" s="14" t="b">
        <v>0</v>
      </c>
      <c r="J38" s="14" t="b">
        <v>0</v>
      </c>
      <c r="K38" s="14" t="n">
        <v>0</v>
      </c>
      <c r="L38" s="14" t="n">
        <v>0.02</v>
      </c>
      <c r="M38" s="14" t="inlineStr"/>
    </row>
    <row r="39">
      <c r="A39" s="13" t="inlineStr">
        <is>
          <t>Babble_13.txt</t>
        </is>
      </c>
      <c r="B39" s="14" t="inlineStr">
        <is>
          <t>Babble</t>
        </is>
      </c>
      <c r="C39" s="14" t="inlineStr">
        <is>
          <t>seen (loại)</t>
        </is>
      </c>
      <c r="D39" s="17" t="n">
        <v>0.4</v>
      </c>
      <c r="E39" s="14" t="n">
        <v>5</v>
      </c>
      <c r="F39" s="17" t="n">
        <v>0.5</v>
      </c>
      <c r="G39" s="25" t="inlineStr">
        <is>
          <t>1.0</t>
        </is>
      </c>
      <c r="H39" s="14" t="n">
        <v>11.1</v>
      </c>
      <c r="I39" s="14" t="b">
        <v>1</v>
      </c>
      <c r="J39" s="14" t="b">
        <v>0</v>
      </c>
      <c r="K39" s="14" t="n">
        <v>0</v>
      </c>
      <c r="L39" s="14" t="n">
        <v>0.04</v>
      </c>
      <c r="M39" s="14" t="inlineStr"/>
    </row>
    <row r="40">
      <c r="A40" s="13" t="inlineStr">
        <is>
          <t>Babble_14.txt</t>
        </is>
      </c>
      <c r="B40" s="14" t="inlineStr">
        <is>
          <t>Babble</t>
        </is>
      </c>
      <c r="C40" s="14" t="inlineStr">
        <is>
          <t>seen (loại)</t>
        </is>
      </c>
      <c r="D40" s="17" t="n">
        <v>0.65</v>
      </c>
      <c r="E40" s="14" t="n">
        <v>7</v>
      </c>
      <c r="F40" s="17" t="n">
        <v>0.65</v>
      </c>
      <c r="G40" s="25" t="inlineStr">
        <is>
          <t>1.0</t>
        </is>
      </c>
      <c r="H40" s="14" t="n">
        <v>5.8</v>
      </c>
      <c r="I40" s="14" t="b">
        <v>1</v>
      </c>
      <c r="J40" s="14" t="b">
        <v>0</v>
      </c>
      <c r="K40" s="14" t="n">
        <v>0</v>
      </c>
      <c r="L40" s="14" t="n">
        <v>0.02</v>
      </c>
      <c r="M40" s="14" t="inlineStr"/>
    </row>
    <row r="41">
      <c r="A41" s="13" t="inlineStr">
        <is>
          <t>Babble_15.txt</t>
        </is>
      </c>
      <c r="B41" s="14" t="inlineStr">
        <is>
          <t>Babble</t>
        </is>
      </c>
      <c r="C41" s="14" t="inlineStr">
        <is>
          <t>test</t>
        </is>
      </c>
      <c r="D41" s="17" t="n">
        <v>0.4</v>
      </c>
      <c r="E41" s="14" t="n">
        <v>4</v>
      </c>
      <c r="F41" s="17" t="n">
        <v>0.4</v>
      </c>
      <c r="G41" s="25" t="inlineStr">
        <is>
          <t>0.8541666666666666</t>
        </is>
      </c>
      <c r="H41" s="14" t="n">
        <v>0.2</v>
      </c>
      <c r="I41" s="14" t="b">
        <v>0</v>
      </c>
      <c r="J41" s="14" t="b">
        <v>0</v>
      </c>
      <c r="K41" s="14" t="n">
        <v>0</v>
      </c>
      <c r="L41" s="14" t="n">
        <v>0.26</v>
      </c>
      <c r="M41" s="14" t="inlineStr">
        <is>
          <t>Cần xem</t>
        </is>
      </c>
    </row>
    <row r="42">
      <c r="A42" s="13" t="inlineStr">
        <is>
          <t>Babble_16.txt</t>
        </is>
      </c>
      <c r="B42" s="14" t="inlineStr">
        <is>
          <t>Babble</t>
        </is>
      </c>
      <c r="C42" s="14" t="inlineStr">
        <is>
          <t>test</t>
        </is>
      </c>
      <c r="D42" s="17" t="n">
        <v>0.75</v>
      </c>
      <c r="E42" s="14" t="n">
        <v>4</v>
      </c>
      <c r="F42" s="17" t="n">
        <v>0.35</v>
      </c>
      <c r="G42" s="25" t="inlineStr">
        <is>
          <t>0.96</t>
        </is>
      </c>
      <c r="H42" s="14" t="n">
        <v>10.5</v>
      </c>
      <c r="I42" s="14" t="b">
        <v>0</v>
      </c>
      <c r="J42" s="14" t="b">
        <v>0</v>
      </c>
      <c r="K42" s="14" t="n">
        <v>0</v>
      </c>
      <c r="L42" s="14" t="n">
        <v>0.04</v>
      </c>
      <c r="M42" s="14" t="inlineStr"/>
    </row>
    <row r="43">
      <c r="A43" s="13" t="inlineStr">
        <is>
          <t>Babble_17.txt</t>
        </is>
      </c>
      <c r="B43" s="14" t="inlineStr">
        <is>
          <t>Babble</t>
        </is>
      </c>
      <c r="C43" s="14" t="inlineStr">
        <is>
          <t>dev</t>
        </is>
      </c>
      <c r="D43" s="17" t="n">
        <v>0.7</v>
      </c>
      <c r="E43" s="14" t="n">
        <v>6</v>
      </c>
      <c r="F43" s="17" t="n">
        <v>0.55</v>
      </c>
      <c r="G43" s="25" t="inlineStr">
        <is>
          <t>0.9047619047619048</t>
        </is>
      </c>
      <c r="H43" s="14" t="n">
        <v>2.9</v>
      </c>
      <c r="I43" s="14" t="b">
        <v>0</v>
      </c>
      <c r="J43" s="14" t="b">
        <v>0</v>
      </c>
      <c r="K43" s="14" t="n">
        <v>0</v>
      </c>
      <c r="L43" s="14" t="n">
        <v>0.12</v>
      </c>
      <c r="M43" s="14" t="inlineStr"/>
    </row>
    <row r="44">
      <c r="A44" s="13" t="inlineStr">
        <is>
          <t>Babble_18.txt</t>
        </is>
      </c>
      <c r="B44" s="14" t="inlineStr">
        <is>
          <t>Babble</t>
        </is>
      </c>
      <c r="C44" s="14" t="inlineStr">
        <is>
          <t>seen (loại)</t>
        </is>
      </c>
      <c r="D44" s="17" t="n">
        <v>0.55</v>
      </c>
      <c r="E44" s="14" t="n">
        <v>3</v>
      </c>
      <c r="F44" s="17" t="n">
        <v>0.3</v>
      </c>
      <c r="G44" s="25" t="inlineStr">
        <is>
          <t>1.0</t>
        </is>
      </c>
      <c r="H44" s="14" t="n">
        <v>1.2</v>
      </c>
      <c r="I44" s="14" t="b">
        <v>1</v>
      </c>
      <c r="J44" s="14" t="b">
        <v>0</v>
      </c>
      <c r="K44" s="14" t="n">
        <v>0</v>
      </c>
      <c r="L44" s="14" t="n">
        <v>-0.18</v>
      </c>
      <c r="M44" s="14" t="inlineStr"/>
    </row>
    <row r="45">
      <c r="A45" s="13" t="inlineStr">
        <is>
          <t>Babble_19.txt</t>
        </is>
      </c>
      <c r="B45" s="14" t="inlineStr">
        <is>
          <t>Babble</t>
        </is>
      </c>
      <c r="C45" s="14" t="inlineStr">
        <is>
          <t>seen (loại)</t>
        </is>
      </c>
      <c r="D45" s="17" t="n">
        <v>0.5</v>
      </c>
      <c r="E45" s="14" t="n">
        <v>5</v>
      </c>
      <c r="F45" s="17" t="n">
        <v>0.45</v>
      </c>
      <c r="G45" s="25" t="inlineStr">
        <is>
          <t>0.97</t>
        </is>
      </c>
      <c r="H45" s="14" t="n">
        <v>7.1</v>
      </c>
      <c r="I45" s="14" t="b">
        <v>1</v>
      </c>
      <c r="J45" s="14" t="b">
        <v>0</v>
      </c>
      <c r="K45" s="14" t="n">
        <v>0</v>
      </c>
      <c r="L45" s="14" t="n">
        <v>-0.06</v>
      </c>
      <c r="M45" s="14" t="inlineStr"/>
    </row>
    <row r="46">
      <c r="A46" s="13" t="inlineStr">
        <is>
          <t>Babble_2.txt</t>
        </is>
      </c>
      <c r="B46" s="14" t="inlineStr">
        <is>
          <t>Babble</t>
        </is>
      </c>
      <c r="C46" s="14" t="inlineStr">
        <is>
          <t>dev</t>
        </is>
      </c>
      <c r="D46" s="17" t="n">
        <v>0.6</v>
      </c>
      <c r="E46" s="14" t="n">
        <v>4</v>
      </c>
      <c r="F46" s="17" t="n">
        <v>0.4</v>
      </c>
      <c r="G46" s="25" t="inlineStr">
        <is>
          <t>1.0</t>
        </is>
      </c>
      <c r="H46" s="14" t="n">
        <v>9.6</v>
      </c>
      <c r="I46" s="14" t="b">
        <v>0</v>
      </c>
      <c r="J46" s="14" t="b">
        <v>0</v>
      </c>
      <c r="K46" s="14" t="n">
        <v>0</v>
      </c>
      <c r="L46" s="14" t="n">
        <v>0.06</v>
      </c>
      <c r="M46" s="14" t="inlineStr"/>
    </row>
    <row r="47">
      <c r="A47" s="13" t="inlineStr">
        <is>
          <t>Babble_20.txt</t>
        </is>
      </c>
      <c r="B47" s="14" t="inlineStr">
        <is>
          <t>Babble</t>
        </is>
      </c>
      <c r="C47" s="14" t="inlineStr">
        <is>
          <t>seen (loại)</t>
        </is>
      </c>
      <c r="D47" s="17" t="n">
        <v>0.55</v>
      </c>
      <c r="E47" s="14" t="n">
        <v>6</v>
      </c>
      <c r="F47" s="17" t="n">
        <v>0.5</v>
      </c>
      <c r="G47" s="25" t="inlineStr">
        <is>
          <t>1.0</t>
        </is>
      </c>
      <c r="H47" s="14" t="n">
        <v>4.7</v>
      </c>
      <c r="I47" s="14" t="b">
        <v>1</v>
      </c>
      <c r="J47" s="14" t="b">
        <v>0</v>
      </c>
      <c r="K47" s="14" t="n">
        <v>0</v>
      </c>
      <c r="L47" s="14" t="n">
        <v>0.06</v>
      </c>
      <c r="M47" s="14" t="inlineStr"/>
    </row>
    <row r="48">
      <c r="A48" s="13" t="inlineStr">
        <is>
          <t>Babble_21.txt</t>
        </is>
      </c>
      <c r="B48" s="14" t="inlineStr">
        <is>
          <t>Babble</t>
        </is>
      </c>
      <c r="C48" s="14" t="inlineStr">
        <is>
          <t>seen (loại)</t>
        </is>
      </c>
      <c r="D48" s="17" t="n">
        <v>0.65</v>
      </c>
      <c r="E48" s="14" t="n">
        <v>4</v>
      </c>
      <c r="F48" s="17" t="n">
        <v>0.4</v>
      </c>
      <c r="G48" s="25" t="inlineStr">
        <is>
          <t>1.0</t>
        </is>
      </c>
      <c r="H48" s="14" t="n">
        <v>11.5</v>
      </c>
      <c r="I48" s="14" t="b">
        <v>1</v>
      </c>
      <c r="J48" s="14" t="b">
        <v>0</v>
      </c>
      <c r="K48" s="14" t="n">
        <v>0</v>
      </c>
      <c r="L48" s="14" t="n">
        <v>-0.02</v>
      </c>
      <c r="M48" s="14" t="inlineStr"/>
    </row>
    <row r="49">
      <c r="A49" s="13" t="inlineStr">
        <is>
          <t>Babble_22.txt</t>
        </is>
      </c>
      <c r="B49" s="14" t="inlineStr">
        <is>
          <t>Babble</t>
        </is>
      </c>
      <c r="C49" s="14" t="inlineStr">
        <is>
          <t>seen (loại)</t>
        </is>
      </c>
      <c r="D49" s="17" t="n">
        <v>0.5</v>
      </c>
      <c r="E49" s="14" t="n">
        <v>5</v>
      </c>
      <c r="F49" s="17" t="n">
        <v>0.45</v>
      </c>
      <c r="G49" s="25" t="inlineStr">
        <is>
          <t>0.9800000000000001</t>
        </is>
      </c>
      <c r="H49" s="14" t="n">
        <v>4</v>
      </c>
      <c r="I49" s="14" t="b">
        <v>1</v>
      </c>
      <c r="J49" s="14" t="b">
        <v>0</v>
      </c>
      <c r="K49" s="14" t="n">
        <v>0</v>
      </c>
      <c r="L49" s="14" t="n">
        <v>0.06</v>
      </c>
      <c r="M49" s="14" t="inlineStr"/>
    </row>
    <row r="50">
      <c r="A50" s="13" t="inlineStr">
        <is>
          <t>Babble_23.txt</t>
        </is>
      </c>
      <c r="B50" s="14" t="inlineStr">
        <is>
          <t>Babble</t>
        </is>
      </c>
      <c r="C50" s="14" t="inlineStr">
        <is>
          <t>test</t>
        </is>
      </c>
      <c r="D50" s="17" t="n">
        <v>0.45</v>
      </c>
      <c r="E50" s="14" t="n">
        <v>6</v>
      </c>
      <c r="F50" s="17" t="n">
        <v>0.55</v>
      </c>
      <c r="G50" s="25" t="inlineStr">
        <is>
          <t>1.0</t>
        </is>
      </c>
      <c r="H50" s="14" t="n">
        <v>4.5</v>
      </c>
      <c r="I50" s="14" t="b">
        <v>0</v>
      </c>
      <c r="J50" s="14" t="b">
        <v>0</v>
      </c>
      <c r="K50" s="14" t="n">
        <v>0</v>
      </c>
      <c r="L50" s="14" t="n">
        <v>0.02</v>
      </c>
      <c r="M50" s="14" t="inlineStr"/>
    </row>
    <row r="51">
      <c r="A51" s="13" t="inlineStr">
        <is>
          <t>Babble_24.txt</t>
        </is>
      </c>
      <c r="B51" s="14" t="inlineStr">
        <is>
          <t>Babble</t>
        </is>
      </c>
      <c r="C51" s="14" t="inlineStr">
        <is>
          <t>seen (loại)</t>
        </is>
      </c>
      <c r="D51" s="17" t="n">
        <v>0.65</v>
      </c>
      <c r="E51" s="14" t="n">
        <v>6</v>
      </c>
      <c r="F51" s="17" t="n">
        <v>0.55</v>
      </c>
      <c r="G51" s="25" t="inlineStr">
        <is>
          <t>0.9670329670329669</t>
        </is>
      </c>
      <c r="H51" s="14" t="n">
        <v>1.4</v>
      </c>
      <c r="I51" s="14" t="b">
        <v>1</v>
      </c>
      <c r="J51" s="14" t="b">
        <v>0</v>
      </c>
      <c r="K51" s="14" t="n">
        <v>0</v>
      </c>
      <c r="L51" s="14" t="n">
        <v>0.12</v>
      </c>
      <c r="M51" s="14" t="inlineStr"/>
    </row>
    <row r="52">
      <c r="A52" s="13" t="inlineStr">
        <is>
          <t>Babble_25.txt</t>
        </is>
      </c>
      <c r="B52" s="14" t="inlineStr">
        <is>
          <t>Babble</t>
        </is>
      </c>
      <c r="C52" s="14" t="inlineStr">
        <is>
          <t>seen (loại)</t>
        </is>
      </c>
      <c r="D52" s="17" t="n">
        <v>0.55</v>
      </c>
      <c r="E52" s="14" t="n">
        <v>6</v>
      </c>
      <c r="F52" s="17" t="n">
        <v>0.55</v>
      </c>
      <c r="G52" s="25" t="inlineStr">
        <is>
          <t>1.0</t>
        </is>
      </c>
      <c r="H52" s="14" t="n">
        <v>3.5</v>
      </c>
      <c r="I52" s="14" t="b">
        <v>1</v>
      </c>
      <c r="J52" s="14" t="b">
        <v>0</v>
      </c>
      <c r="K52" s="14" t="n">
        <v>0</v>
      </c>
      <c r="L52" s="14" t="n">
        <v>-0.08</v>
      </c>
      <c r="M52" s="14" t="inlineStr"/>
    </row>
    <row r="53">
      <c r="A53" s="13" t="inlineStr">
        <is>
          <t>Babble_26.txt</t>
        </is>
      </c>
      <c r="B53" s="14" t="inlineStr">
        <is>
          <t>Babble</t>
        </is>
      </c>
      <c r="C53" s="14" t="inlineStr">
        <is>
          <t>seen (loại)</t>
        </is>
      </c>
      <c r="D53" s="17" t="n">
        <v>0.7</v>
      </c>
      <c r="E53" s="14" t="n">
        <v>6</v>
      </c>
      <c r="F53" s="17" t="n">
        <v>0.55</v>
      </c>
      <c r="G53" s="25" t="inlineStr">
        <is>
          <t>0.9523809523809524</t>
        </is>
      </c>
      <c r="H53" s="14" t="n">
        <v>6.5</v>
      </c>
      <c r="I53" s="14" t="b">
        <v>1</v>
      </c>
      <c r="J53" s="14" t="b">
        <v>0</v>
      </c>
      <c r="K53" s="14" t="n">
        <v>0</v>
      </c>
      <c r="L53" s="14" t="n">
        <v>-0.02</v>
      </c>
      <c r="M53" s="14" t="inlineStr"/>
    </row>
    <row r="54">
      <c r="A54" s="13" t="inlineStr">
        <is>
          <t>Babble_27.txt</t>
        </is>
      </c>
      <c r="B54" s="14" t="inlineStr">
        <is>
          <t>Babble</t>
        </is>
      </c>
      <c r="C54" s="14" t="inlineStr">
        <is>
          <t>seen (loại)</t>
        </is>
      </c>
      <c r="D54" s="17" t="n">
        <v>0.5</v>
      </c>
      <c r="E54" s="14" t="n">
        <v>4</v>
      </c>
      <c r="F54" s="17" t="n">
        <v>0.4</v>
      </c>
      <c r="G54" s="25" t="inlineStr">
        <is>
          <t>0.97</t>
        </is>
      </c>
      <c r="H54" s="14" t="n">
        <v>10.1</v>
      </c>
      <c r="I54" s="14" t="b">
        <v>1</v>
      </c>
      <c r="J54" s="14" t="b">
        <v>0</v>
      </c>
      <c r="K54" s="14" t="n">
        <v>0</v>
      </c>
      <c r="L54" s="14" t="n">
        <v>-0.02</v>
      </c>
      <c r="M54" s="14" t="inlineStr"/>
    </row>
    <row r="55">
      <c r="A55" s="13" t="inlineStr">
        <is>
          <t>Babble_28.txt</t>
        </is>
      </c>
      <c r="B55" s="14" t="inlineStr">
        <is>
          <t>Babble</t>
        </is>
      </c>
      <c r="C55" s="14" t="inlineStr">
        <is>
          <t>seen (loại)</t>
        </is>
      </c>
      <c r="D55" s="17" t="n">
        <v>0.55</v>
      </c>
      <c r="E55" s="14" t="n">
        <v>5</v>
      </c>
      <c r="F55" s="17" t="n">
        <v>0.45</v>
      </c>
      <c r="G55" s="25" t="inlineStr">
        <is>
          <t>1.0</t>
        </is>
      </c>
      <c r="H55" s="14" t="n">
        <v>8.199999999999999</v>
      </c>
      <c r="I55" s="14" t="b">
        <v>1</v>
      </c>
      <c r="J55" s="14" t="b">
        <v>0</v>
      </c>
      <c r="K55" s="14" t="n">
        <v>0</v>
      </c>
      <c r="L55" s="14" t="n">
        <v>0.12</v>
      </c>
      <c r="M55" s="14" t="inlineStr"/>
    </row>
    <row r="56">
      <c r="A56" s="13" t="inlineStr">
        <is>
          <t>Babble_29.txt</t>
        </is>
      </c>
      <c r="B56" s="14" t="inlineStr">
        <is>
          <t>Babble</t>
        </is>
      </c>
      <c r="C56" s="14" t="inlineStr">
        <is>
          <t>seen (loại)</t>
        </is>
      </c>
      <c r="D56" s="17" t="n">
        <v>0.65</v>
      </c>
      <c r="E56" s="14" t="n">
        <v>4</v>
      </c>
      <c r="F56" s="17" t="n">
        <v>0.4</v>
      </c>
      <c r="G56" s="25" t="inlineStr">
        <is>
          <t>1.0</t>
        </is>
      </c>
      <c r="H56" s="14" t="n">
        <v>12</v>
      </c>
      <c r="I56" s="14" t="b">
        <v>1</v>
      </c>
      <c r="J56" s="14" t="b">
        <v>0</v>
      </c>
      <c r="K56" s="14" t="n">
        <v>0</v>
      </c>
      <c r="L56" s="14" t="n">
        <v>0.04</v>
      </c>
      <c r="M56" s="14" t="inlineStr"/>
    </row>
    <row r="57">
      <c r="A57" s="13" t="inlineStr">
        <is>
          <t>Babble_3.txt</t>
        </is>
      </c>
      <c r="B57" s="14" t="inlineStr">
        <is>
          <t>Babble</t>
        </is>
      </c>
      <c r="C57" s="14" t="inlineStr">
        <is>
          <t>seen (loại)</t>
        </is>
      </c>
      <c r="D57" s="17" t="n">
        <v>0.6</v>
      </c>
      <c r="E57" s="14" t="n">
        <v>4</v>
      </c>
      <c r="F57" s="17" t="n">
        <v>0.4</v>
      </c>
      <c r="G57" s="25" t="inlineStr">
        <is>
          <t>1.0</t>
        </is>
      </c>
      <c r="H57" s="14" t="n">
        <v>11.5</v>
      </c>
      <c r="I57" s="14" t="b">
        <v>1</v>
      </c>
      <c r="J57" s="14" t="b">
        <v>0</v>
      </c>
      <c r="K57" s="14" t="n">
        <v>0.5</v>
      </c>
      <c r="L57" s="14" t="n">
        <v>-0.66</v>
      </c>
      <c r="M57" s="14" t="inlineStr">
        <is>
          <t>Lệch ~1 bin</t>
        </is>
      </c>
    </row>
    <row r="58">
      <c r="A58" s="13" t="inlineStr">
        <is>
          <t>Babble_4.txt</t>
        </is>
      </c>
      <c r="B58" s="14" t="inlineStr">
        <is>
          <t>Babble</t>
        </is>
      </c>
      <c r="C58" s="14" t="inlineStr">
        <is>
          <t>seen (loại)</t>
        </is>
      </c>
      <c r="D58" s="17" t="n">
        <v>0.45</v>
      </c>
      <c r="E58" s="14" t="n">
        <v>5</v>
      </c>
      <c r="F58" s="17" t="n">
        <v>0.5</v>
      </c>
      <c r="G58" s="25" t="inlineStr">
        <is>
          <t>1.0</t>
        </is>
      </c>
      <c r="H58" s="14" t="n">
        <v>2.9</v>
      </c>
      <c r="I58" s="14" t="b">
        <v>1</v>
      </c>
      <c r="J58" s="14" t="b">
        <v>0</v>
      </c>
      <c r="K58" s="14" t="n">
        <v>0</v>
      </c>
      <c r="L58" s="14" t="n">
        <v>0.02</v>
      </c>
      <c r="M58" s="14" t="inlineStr"/>
    </row>
    <row r="59">
      <c r="A59" s="13" t="inlineStr">
        <is>
          <t>Babble_5.txt</t>
        </is>
      </c>
      <c r="B59" s="14" t="inlineStr">
        <is>
          <t>Babble</t>
        </is>
      </c>
      <c r="C59" s="14" t="inlineStr">
        <is>
          <t>seen (loại)</t>
        </is>
      </c>
      <c r="D59" s="17" t="n">
        <v>0.4</v>
      </c>
      <c r="E59" s="14" t="n">
        <v>6</v>
      </c>
      <c r="F59" s="17" t="n">
        <v>0.6</v>
      </c>
      <c r="G59" s="25" t="inlineStr">
        <is>
          <t>0.9791666666666667</t>
        </is>
      </c>
      <c r="H59" s="14" t="n">
        <v>4.1</v>
      </c>
      <c r="I59" s="14" t="b">
        <v>1</v>
      </c>
      <c r="J59" s="14" t="b">
        <v>0</v>
      </c>
      <c r="K59" s="14" t="n">
        <v>0</v>
      </c>
      <c r="L59" s="14" t="n">
        <v>-0.14</v>
      </c>
      <c r="M59" s="14" t="inlineStr"/>
    </row>
    <row r="60">
      <c r="A60" s="13" t="inlineStr">
        <is>
          <t>Babble_6.txt</t>
        </is>
      </c>
      <c r="B60" s="14" t="inlineStr">
        <is>
          <t>Babble</t>
        </is>
      </c>
      <c r="C60" s="14" t="inlineStr">
        <is>
          <t>seen (loại)</t>
        </is>
      </c>
      <c r="D60" s="17" t="n">
        <v>0.5</v>
      </c>
      <c r="E60" s="14" t="n">
        <v>5</v>
      </c>
      <c r="F60" s="17" t="n">
        <v>0.5</v>
      </c>
      <c r="G60" s="25" t="inlineStr">
        <is>
          <t>0.99</t>
        </is>
      </c>
      <c r="H60" s="14" t="n">
        <v>4.4</v>
      </c>
      <c r="I60" s="14" t="b">
        <v>1</v>
      </c>
      <c r="J60" s="14" t="b">
        <v>0</v>
      </c>
      <c r="K60" s="14" t="n">
        <v>0</v>
      </c>
      <c r="L60" s="14" t="n">
        <v>0.06</v>
      </c>
      <c r="M60" s="14" t="inlineStr"/>
    </row>
    <row r="61">
      <c r="A61" s="13" t="inlineStr">
        <is>
          <t>Babble_7.txt</t>
        </is>
      </c>
      <c r="B61" s="14" t="inlineStr">
        <is>
          <t>Babble</t>
        </is>
      </c>
      <c r="C61" s="14" t="inlineStr">
        <is>
          <t>seen (loại)</t>
        </is>
      </c>
      <c r="D61" s="17" t="n">
        <v>0.5</v>
      </c>
      <c r="E61" s="14" t="n">
        <v>5</v>
      </c>
      <c r="F61" s="17" t="n">
        <v>0.45</v>
      </c>
      <c r="G61" s="25" t="inlineStr">
        <is>
          <t>1.0</t>
        </is>
      </c>
      <c r="H61" s="14" t="n">
        <v>11.4</v>
      </c>
      <c r="I61" s="14" t="b">
        <v>1</v>
      </c>
      <c r="J61" s="14" t="b">
        <v>0</v>
      </c>
      <c r="K61" s="14" t="n">
        <v>0</v>
      </c>
      <c r="L61" s="14" t="n">
        <v>-0.06</v>
      </c>
      <c r="M61" s="14" t="inlineStr"/>
    </row>
    <row r="62">
      <c r="A62" s="13" t="inlineStr">
        <is>
          <t>Babble_8.txt</t>
        </is>
      </c>
      <c r="B62" s="14" t="inlineStr">
        <is>
          <t>Babble</t>
        </is>
      </c>
      <c r="C62" s="14" t="inlineStr">
        <is>
          <t>seen (loại)</t>
        </is>
      </c>
      <c r="D62" s="17" t="n">
        <v>0.35</v>
      </c>
      <c r="E62" s="14" t="n">
        <v>5</v>
      </c>
      <c r="F62" s="17" t="n">
        <v>0.5</v>
      </c>
      <c r="G62" s="25" t="inlineStr">
        <is>
          <t>1.0</t>
        </is>
      </c>
      <c r="H62" s="14" t="n">
        <v>6.5</v>
      </c>
      <c r="I62" s="14" t="b">
        <v>1</v>
      </c>
      <c r="J62" s="14" t="b">
        <v>0</v>
      </c>
      <c r="K62" s="14" t="n">
        <v>0</v>
      </c>
      <c r="L62" s="14" t="n">
        <v>0.02</v>
      </c>
      <c r="M62" s="14" t="inlineStr"/>
    </row>
    <row r="63">
      <c r="A63" s="13" t="inlineStr">
        <is>
          <t>Babble_9.txt</t>
        </is>
      </c>
      <c r="B63" s="14" t="inlineStr">
        <is>
          <t>Babble</t>
        </is>
      </c>
      <c r="C63" s="14" t="inlineStr">
        <is>
          <t>test</t>
        </is>
      </c>
      <c r="D63" s="17" t="n">
        <v>0.65</v>
      </c>
      <c r="E63" s="14" t="n">
        <v>3</v>
      </c>
      <c r="F63" s="17" t="n">
        <v>0.3</v>
      </c>
      <c r="G63" s="25" t="inlineStr">
        <is>
          <t>0.9120879120879122</t>
        </is>
      </c>
      <c r="H63" s="14" t="n">
        <v>4.6</v>
      </c>
      <c r="I63" s="14" t="b">
        <v>0</v>
      </c>
      <c r="J63" s="14" t="b">
        <v>0</v>
      </c>
      <c r="K63" s="14" t="n">
        <v>0</v>
      </c>
      <c r="L63" s="14" t="n">
        <v>-0.14</v>
      </c>
      <c r="M63" s="14" t="inlineStr"/>
    </row>
    <row r="64">
      <c r="A64" s="13" t="inlineStr">
        <is>
          <t>Clean_1.txt</t>
        </is>
      </c>
      <c r="B64" s="14" t="inlineStr">
        <is>
          <t>Clean</t>
        </is>
      </c>
      <c r="C64" s="14" t="inlineStr">
        <is>
          <t>dev</t>
        </is>
      </c>
      <c r="D64" s="17" t="n">
        <v>0.65</v>
      </c>
      <c r="E64" s="14" t="n">
        <v>3</v>
      </c>
      <c r="F64" s="17" t="n">
        <v>0.3</v>
      </c>
      <c r="G64" s="25" t="inlineStr">
        <is>
          <t>1.0</t>
        </is>
      </c>
      <c r="H64" s="14" t="n">
        <v>20.6</v>
      </c>
      <c r="I64" s="14" t="b">
        <v>0</v>
      </c>
      <c r="J64" s="14" t="b">
        <v>0</v>
      </c>
      <c r="K64" s="14" t="n">
        <v>0</v>
      </c>
      <c r="L64" s="14" t="n">
        <v>0.1</v>
      </c>
      <c r="M64" s="14" t="inlineStr"/>
    </row>
    <row r="65">
      <c r="A65" s="13" t="inlineStr">
        <is>
          <t>Clean_10.txt</t>
        </is>
      </c>
      <c r="B65" s="14" t="inlineStr">
        <is>
          <t>Clean</t>
        </is>
      </c>
      <c r="C65" s="14" t="inlineStr">
        <is>
          <t>test</t>
        </is>
      </c>
      <c r="D65" s="17" t="n">
        <v>0.55</v>
      </c>
      <c r="E65" s="14" t="n">
        <v>5</v>
      </c>
      <c r="F65" s="17" t="n">
        <v>0.5</v>
      </c>
      <c r="G65" s="25" t="inlineStr">
        <is>
          <t>1.0</t>
        </is>
      </c>
      <c r="H65" s="14" t="n">
        <v>34.4</v>
      </c>
      <c r="I65" s="14" t="b">
        <v>0</v>
      </c>
      <c r="J65" s="14" t="b">
        <v>0</v>
      </c>
      <c r="K65" s="14" t="n">
        <v>0</v>
      </c>
      <c r="L65" s="14" t="n">
        <v>-0.08</v>
      </c>
      <c r="M65" s="14" t="inlineStr"/>
    </row>
    <row r="66">
      <c r="A66" s="13" t="inlineStr">
        <is>
          <t>Clean_11.txt</t>
        </is>
      </c>
      <c r="B66" s="14" t="inlineStr">
        <is>
          <t>Clean</t>
        </is>
      </c>
      <c r="C66" s="14" t="inlineStr">
        <is>
          <t>seen (loại)</t>
        </is>
      </c>
      <c r="D66" s="17" t="n">
        <v>0.7</v>
      </c>
      <c r="E66" s="14" t="n">
        <v>6</v>
      </c>
      <c r="F66" s="17" t="n">
        <v>0.55</v>
      </c>
      <c r="G66" s="25" t="inlineStr">
        <is>
          <t>0.9880952380952381</t>
        </is>
      </c>
      <c r="H66" s="14" t="n">
        <v>33.4</v>
      </c>
      <c r="I66" s="14" t="b">
        <v>1</v>
      </c>
      <c r="J66" s="14" t="b">
        <v>0</v>
      </c>
      <c r="K66" s="14" t="n">
        <v>0</v>
      </c>
      <c r="L66" s="14" t="n">
        <v>-0.1</v>
      </c>
      <c r="M66" s="14" t="inlineStr"/>
    </row>
    <row r="67">
      <c r="A67" s="13" t="inlineStr">
        <is>
          <t>Clean_12.txt</t>
        </is>
      </c>
      <c r="B67" s="14" t="inlineStr">
        <is>
          <t>Clean</t>
        </is>
      </c>
      <c r="C67" s="14" t="inlineStr">
        <is>
          <t>test</t>
        </is>
      </c>
      <c r="D67" s="17" t="n">
        <v>0.7</v>
      </c>
      <c r="E67" s="14" t="n">
        <v>4</v>
      </c>
      <c r="F67" s="17" t="n">
        <v>0.4</v>
      </c>
      <c r="G67" s="25" t="inlineStr">
        <is>
          <t>1.0</t>
        </is>
      </c>
      <c r="H67" s="14" t="n">
        <v>25</v>
      </c>
      <c r="I67" s="14" t="b">
        <v>0</v>
      </c>
      <c r="J67" s="14" t="b">
        <v>0</v>
      </c>
      <c r="K67" s="14" t="n">
        <v>0</v>
      </c>
      <c r="L67" s="14" t="n">
        <v>-0.08</v>
      </c>
      <c r="M67" s="14" t="inlineStr"/>
    </row>
    <row r="68">
      <c r="A68" s="13" t="inlineStr">
        <is>
          <t>Clean_13.txt</t>
        </is>
      </c>
      <c r="B68" s="14" t="inlineStr">
        <is>
          <t>Clean</t>
        </is>
      </c>
      <c r="C68" s="14" t="inlineStr">
        <is>
          <t>seen (loại)</t>
        </is>
      </c>
      <c r="D68" s="17" t="n">
        <v>0.8</v>
      </c>
      <c r="E68" s="14" t="n">
        <v>5</v>
      </c>
      <c r="F68" s="17" t="n">
        <v>0.45</v>
      </c>
      <c r="G68" s="25" t="inlineStr">
        <is>
          <t>0.96875</t>
        </is>
      </c>
      <c r="H68" s="14" t="n">
        <v>20.7</v>
      </c>
      <c r="I68" s="14" t="b">
        <v>1</v>
      </c>
      <c r="J68" s="14" t="b">
        <v>0</v>
      </c>
      <c r="K68" s="14" t="n">
        <v>0</v>
      </c>
      <c r="L68" s="14" t="n">
        <v>-0.08</v>
      </c>
      <c r="M68" s="14" t="inlineStr"/>
    </row>
    <row r="69">
      <c r="A69" s="13" t="inlineStr">
        <is>
          <t>Clean_14.txt</t>
        </is>
      </c>
      <c r="B69" s="14" t="inlineStr">
        <is>
          <t>Clean</t>
        </is>
      </c>
      <c r="C69" s="14" t="inlineStr">
        <is>
          <t>seen (loại)</t>
        </is>
      </c>
      <c r="D69" s="17" t="n">
        <v>0.75</v>
      </c>
      <c r="E69" s="14" t="n">
        <v>5</v>
      </c>
      <c r="F69" s="17" t="n">
        <v>0.45</v>
      </c>
      <c r="G69" s="25" t="inlineStr">
        <is>
          <t>1.0</t>
        </is>
      </c>
      <c r="H69" s="14" t="n">
        <v>22</v>
      </c>
      <c r="I69" s="14" t="b">
        <v>1</v>
      </c>
      <c r="J69" s="14" t="b">
        <v>0</v>
      </c>
      <c r="K69" s="14" t="n">
        <v>0</v>
      </c>
      <c r="L69" s="14" t="n">
        <v>0.12</v>
      </c>
      <c r="M69" s="14" t="inlineStr"/>
    </row>
    <row r="70">
      <c r="A70" s="13" t="inlineStr">
        <is>
          <t>Clean_15.txt</t>
        </is>
      </c>
      <c r="B70" s="14" t="inlineStr">
        <is>
          <t>Clean</t>
        </is>
      </c>
      <c r="C70" s="14" t="inlineStr">
        <is>
          <t>seen (loại)</t>
        </is>
      </c>
      <c r="D70" s="17" t="n">
        <v>0.65</v>
      </c>
      <c r="E70" s="14" t="n">
        <v>5</v>
      </c>
      <c r="F70" s="17" t="n">
        <v>0.5</v>
      </c>
      <c r="G70" s="25" t="inlineStr">
        <is>
          <t>1.0</t>
        </is>
      </c>
      <c r="H70" s="14" t="n">
        <v>27.2</v>
      </c>
      <c r="I70" s="14" t="b">
        <v>1</v>
      </c>
      <c r="J70" s="14" t="b">
        <v>0</v>
      </c>
      <c r="K70" s="14" t="n">
        <v>0</v>
      </c>
      <c r="L70" s="14" t="n">
        <v>-0.14</v>
      </c>
      <c r="M70" s="14" t="inlineStr"/>
    </row>
    <row r="71">
      <c r="A71" s="13" t="inlineStr">
        <is>
          <t>Clean_16.txt</t>
        </is>
      </c>
      <c r="B71" s="14" t="inlineStr">
        <is>
          <t>Clean</t>
        </is>
      </c>
      <c r="C71" s="14" t="inlineStr">
        <is>
          <t>test</t>
        </is>
      </c>
      <c r="D71" s="17" t="n">
        <v>0.45</v>
      </c>
      <c r="E71" s="14" t="n">
        <v>6</v>
      </c>
      <c r="F71" s="17" t="n">
        <v>0.55</v>
      </c>
      <c r="G71" s="25" t="inlineStr">
        <is>
          <t>1.0</t>
        </is>
      </c>
      <c r="H71" s="14" t="n">
        <v>22.4</v>
      </c>
      <c r="I71" s="14" t="b">
        <v>0</v>
      </c>
      <c r="J71" s="14" t="b">
        <v>0</v>
      </c>
      <c r="K71" s="14" t="n">
        <v>0</v>
      </c>
      <c r="L71" s="14" t="n">
        <v>-0.08</v>
      </c>
      <c r="M71" s="14" t="inlineStr"/>
    </row>
    <row r="72">
      <c r="A72" s="13" t="inlineStr">
        <is>
          <t>Clean_17.txt</t>
        </is>
      </c>
      <c r="B72" s="14" t="inlineStr">
        <is>
          <t>Clean</t>
        </is>
      </c>
      <c r="C72" s="14" t="inlineStr">
        <is>
          <t>dev</t>
        </is>
      </c>
      <c r="D72" s="17" t="n">
        <v>0.8</v>
      </c>
      <c r="E72" s="14" t="n">
        <v>6</v>
      </c>
      <c r="F72" s="17" t="n">
        <v>0.5</v>
      </c>
      <c r="G72" s="25" t="inlineStr">
        <is>
          <t>0.96875</t>
        </is>
      </c>
      <c r="H72" s="14" t="n">
        <v>26.8</v>
      </c>
      <c r="I72" s="14" t="b">
        <v>0</v>
      </c>
      <c r="J72" s="14" t="b">
        <v>0</v>
      </c>
      <c r="K72" s="14" t="n">
        <v>0</v>
      </c>
      <c r="L72" s="14" t="n">
        <v>-0.02</v>
      </c>
      <c r="M72" s="14" t="inlineStr"/>
    </row>
    <row r="73">
      <c r="A73" s="13" t="inlineStr">
        <is>
          <t>Clean_18.txt</t>
        </is>
      </c>
      <c r="B73" s="14" t="inlineStr">
        <is>
          <t>Clean</t>
        </is>
      </c>
      <c r="C73" s="14" t="inlineStr">
        <is>
          <t>test</t>
        </is>
      </c>
      <c r="D73" s="17" t="n">
        <v>0.6</v>
      </c>
      <c r="E73" s="14" t="n">
        <v>6</v>
      </c>
      <c r="F73" s="17" t="n">
        <v>0.6</v>
      </c>
      <c r="G73" s="25" t="inlineStr">
        <is>
          <t>1.0</t>
        </is>
      </c>
      <c r="H73" s="14" t="n">
        <v>21.8</v>
      </c>
      <c r="I73" s="14" t="b">
        <v>0</v>
      </c>
      <c r="J73" s="14" t="b">
        <v>0</v>
      </c>
      <c r="K73" s="14" t="n">
        <v>0</v>
      </c>
      <c r="L73" s="14" t="n">
        <v>0.1</v>
      </c>
      <c r="M73" s="14" t="inlineStr"/>
    </row>
    <row r="74">
      <c r="A74" s="13" t="inlineStr">
        <is>
          <t>Clean_19.txt</t>
        </is>
      </c>
      <c r="B74" s="14" t="inlineStr">
        <is>
          <t>Clean</t>
        </is>
      </c>
      <c r="C74" s="14" t="inlineStr">
        <is>
          <t>seen (loại)</t>
        </is>
      </c>
      <c r="D74" s="17" t="n">
        <v>0.7</v>
      </c>
      <c r="E74" s="14" t="n">
        <v>5</v>
      </c>
      <c r="F74" s="17" t="n">
        <v>0.45</v>
      </c>
      <c r="G74" s="25" t="inlineStr">
        <is>
          <t>1.0</t>
        </is>
      </c>
      <c r="H74" s="14" t="n">
        <v>30.5</v>
      </c>
      <c r="I74" s="14" t="b">
        <v>1</v>
      </c>
      <c r="J74" s="14" t="b">
        <v>0</v>
      </c>
      <c r="K74" s="14" t="n">
        <v>0</v>
      </c>
      <c r="L74" s="14" t="n">
        <v>-0.06</v>
      </c>
      <c r="M74" s="14" t="inlineStr"/>
    </row>
    <row r="75">
      <c r="A75" s="13" t="inlineStr">
        <is>
          <t>Clean_2.txt</t>
        </is>
      </c>
      <c r="B75" s="14" t="inlineStr">
        <is>
          <t>Clean</t>
        </is>
      </c>
      <c r="C75" s="14" t="inlineStr">
        <is>
          <t>seen (loại)</t>
        </is>
      </c>
      <c r="D75" s="17" t="n">
        <v>0.55</v>
      </c>
      <c r="E75" s="14" t="n">
        <v>7</v>
      </c>
      <c r="F75" s="17" t="n">
        <v>0.65</v>
      </c>
      <c r="G75" s="25" t="inlineStr">
        <is>
          <t>0.9797979797979798</t>
        </is>
      </c>
      <c r="H75" s="14" t="n">
        <v>22.7</v>
      </c>
      <c r="I75" s="14" t="b">
        <v>1</v>
      </c>
      <c r="J75" s="14" t="b">
        <v>0</v>
      </c>
      <c r="K75" s="14" t="n">
        <v>0</v>
      </c>
      <c r="L75" s="14" t="n">
        <v>-0.06</v>
      </c>
      <c r="M75" s="14" t="inlineStr"/>
    </row>
    <row r="76">
      <c r="A76" s="13" t="inlineStr">
        <is>
          <t>Clean_20.txt</t>
        </is>
      </c>
      <c r="B76" s="14" t="inlineStr">
        <is>
          <t>Clean</t>
        </is>
      </c>
      <c r="C76" s="14" t="inlineStr">
        <is>
          <t>test</t>
        </is>
      </c>
      <c r="D76" s="17" t="n">
        <v>0.75</v>
      </c>
      <c r="E76" s="14" t="n">
        <v>4</v>
      </c>
      <c r="F76" s="17" t="n">
        <v>0.35</v>
      </c>
      <c r="G76" s="25" t="inlineStr">
        <is>
          <t>1.0</t>
        </is>
      </c>
      <c r="H76" s="14" t="n">
        <v>24.1</v>
      </c>
      <c r="I76" s="14" t="b">
        <v>0</v>
      </c>
      <c r="J76" s="14" t="b">
        <v>0</v>
      </c>
      <c r="K76" s="14" t="n">
        <v>0</v>
      </c>
      <c r="L76" s="14" t="n">
        <v>-0.04</v>
      </c>
      <c r="M76" s="14" t="inlineStr"/>
    </row>
    <row r="77">
      <c r="A77" s="13" t="inlineStr">
        <is>
          <t>Clean_21.txt</t>
        </is>
      </c>
      <c r="B77" s="14" t="inlineStr">
        <is>
          <t>Clean</t>
        </is>
      </c>
      <c r="C77" s="14" t="inlineStr">
        <is>
          <t>seen (loại)</t>
        </is>
      </c>
      <c r="D77" s="17" t="n">
        <v>0.6</v>
      </c>
      <c r="E77" s="14" t="n">
        <v>4</v>
      </c>
      <c r="F77" s="17" t="n">
        <v>0.4</v>
      </c>
      <c r="G77" s="25" t="inlineStr">
        <is>
          <t>1.0</t>
        </is>
      </c>
      <c r="H77" s="14" t="n">
        <v>20.1</v>
      </c>
      <c r="I77" s="14" t="b">
        <v>1</v>
      </c>
      <c r="J77" s="14" t="b">
        <v>0</v>
      </c>
      <c r="K77" s="14" t="n">
        <v>0</v>
      </c>
      <c r="L77" s="14" t="n">
        <v>0.02</v>
      </c>
      <c r="M77" s="14" t="inlineStr"/>
    </row>
    <row r="78">
      <c r="A78" s="13" t="inlineStr">
        <is>
          <t>Clean_22.txt</t>
        </is>
      </c>
      <c r="B78" s="14" t="inlineStr">
        <is>
          <t>Clean</t>
        </is>
      </c>
      <c r="C78" s="14" t="inlineStr">
        <is>
          <t>test</t>
        </is>
      </c>
      <c r="D78" s="17" t="n">
        <v>0.75</v>
      </c>
      <c r="E78" s="14" t="n">
        <v>3</v>
      </c>
      <c r="F78" s="17" t="n">
        <v>0.3</v>
      </c>
      <c r="G78" s="25" t="inlineStr">
        <is>
          <t>0.9733333333333334</t>
        </is>
      </c>
      <c r="H78" s="14" t="n">
        <v>28.2</v>
      </c>
      <c r="I78" s="14" t="b">
        <v>0</v>
      </c>
      <c r="J78" s="14" t="b">
        <v>0</v>
      </c>
      <c r="K78" s="14" t="n">
        <v>0</v>
      </c>
      <c r="L78" s="14" t="n">
        <v>0.06</v>
      </c>
      <c r="M78" s="14" t="inlineStr"/>
    </row>
    <row r="79">
      <c r="A79" s="13" t="inlineStr">
        <is>
          <t>Clean_23.txt</t>
        </is>
      </c>
      <c r="B79" s="14" t="inlineStr">
        <is>
          <t>Clean</t>
        </is>
      </c>
      <c r="C79" s="14" t="inlineStr">
        <is>
          <t>dev</t>
        </is>
      </c>
      <c r="D79" s="17" t="n">
        <v>0.5</v>
      </c>
      <c r="E79" s="14" t="n">
        <v>4</v>
      </c>
      <c r="F79" s="17" t="n">
        <v>0.4</v>
      </c>
      <c r="G79" s="25" t="inlineStr">
        <is>
          <t>1.0</t>
        </is>
      </c>
      <c r="H79" s="14" t="n">
        <v>23.8</v>
      </c>
      <c r="I79" s="14" t="b">
        <v>0</v>
      </c>
      <c r="J79" s="14" t="b">
        <v>0</v>
      </c>
      <c r="K79" s="14" t="n">
        <v>0</v>
      </c>
      <c r="L79" s="14" t="n">
        <v>-0.02</v>
      </c>
      <c r="M79" s="14" t="inlineStr"/>
    </row>
    <row r="80">
      <c r="A80" s="13" t="inlineStr">
        <is>
          <t>Clean_24.txt</t>
        </is>
      </c>
      <c r="B80" s="14" t="inlineStr">
        <is>
          <t>Clean</t>
        </is>
      </c>
      <c r="C80" s="14" t="inlineStr">
        <is>
          <t>seen (loại)</t>
        </is>
      </c>
      <c r="D80" s="17" t="n">
        <v>0.65</v>
      </c>
      <c r="E80" s="14" t="n">
        <v>5</v>
      </c>
      <c r="F80" s="17" t="n">
        <v>0.5</v>
      </c>
      <c r="G80" s="25" t="inlineStr">
        <is>
          <t>1.0</t>
        </is>
      </c>
      <c r="H80" s="14" t="n">
        <v>34.2</v>
      </c>
      <c r="I80" s="14" t="b">
        <v>1</v>
      </c>
      <c r="J80" s="14" t="b">
        <v>0</v>
      </c>
      <c r="K80" s="14" t="n">
        <v>0</v>
      </c>
      <c r="L80" s="14" t="n">
        <v>-0.12</v>
      </c>
      <c r="M80" s="14" t="inlineStr"/>
    </row>
    <row r="81">
      <c r="A81" s="13" t="inlineStr">
        <is>
          <t>Clean_25.txt</t>
        </is>
      </c>
      <c r="B81" s="14" t="inlineStr">
        <is>
          <t>Clean</t>
        </is>
      </c>
      <c r="C81" s="14" t="inlineStr">
        <is>
          <t>test</t>
        </is>
      </c>
      <c r="D81" s="17" t="n">
        <v>0.5</v>
      </c>
      <c r="E81" s="14" t="n">
        <v>5</v>
      </c>
      <c r="F81" s="17" t="n">
        <v>0.5</v>
      </c>
      <c r="G81" s="25" t="inlineStr">
        <is>
          <t>1.0</t>
        </is>
      </c>
      <c r="H81" s="14" t="n">
        <v>35</v>
      </c>
      <c r="I81" s="14" t="b">
        <v>0</v>
      </c>
      <c r="J81" s="14" t="b">
        <v>0</v>
      </c>
      <c r="K81" s="14" t="n">
        <v>0</v>
      </c>
      <c r="L81" s="14" t="n">
        <v>-0.08</v>
      </c>
      <c r="M81" s="14" t="inlineStr"/>
    </row>
    <row r="82">
      <c r="A82" s="13" t="inlineStr">
        <is>
          <t>Clean_26.txt</t>
        </is>
      </c>
      <c r="B82" s="14" t="inlineStr">
        <is>
          <t>Clean</t>
        </is>
      </c>
      <c r="C82" s="14" t="inlineStr">
        <is>
          <t>test</t>
        </is>
      </c>
      <c r="D82" s="17" t="n">
        <v>0.5</v>
      </c>
      <c r="E82" s="14" t="n">
        <v>6</v>
      </c>
      <c r="F82" s="17" t="n">
        <v>0.6</v>
      </c>
      <c r="G82" s="25" t="inlineStr">
        <is>
          <t>1.0</t>
        </is>
      </c>
      <c r="H82" s="14" t="n">
        <v>34.2</v>
      </c>
      <c r="I82" s="14" t="b">
        <v>0</v>
      </c>
      <c r="J82" s="14" t="b">
        <v>0</v>
      </c>
      <c r="K82" s="14" t="n">
        <v>0</v>
      </c>
      <c r="L82" s="14" t="n">
        <v>-0.04</v>
      </c>
      <c r="M82" s="14" t="inlineStr"/>
    </row>
    <row r="83">
      <c r="A83" s="13" t="inlineStr">
        <is>
          <t>Clean_27.txt</t>
        </is>
      </c>
      <c r="B83" s="14" t="inlineStr">
        <is>
          <t>Clean</t>
        </is>
      </c>
      <c r="C83" s="14" t="inlineStr">
        <is>
          <t>seen (loại)</t>
        </is>
      </c>
      <c r="D83" s="17" t="n">
        <v>0.5</v>
      </c>
      <c r="E83" s="14" t="n">
        <v>5</v>
      </c>
      <c r="F83" s="17" t="n">
        <v>0.5</v>
      </c>
      <c r="G83" s="25" t="inlineStr">
        <is>
          <t>1.0</t>
        </is>
      </c>
      <c r="H83" s="14" t="n">
        <v>24.3</v>
      </c>
      <c r="I83" s="14" t="b">
        <v>1</v>
      </c>
      <c r="J83" s="14" t="b">
        <v>0</v>
      </c>
      <c r="K83" s="14" t="n">
        <v>0</v>
      </c>
      <c r="L83" s="14" t="n">
        <v>-0.08</v>
      </c>
      <c r="M83" s="14" t="inlineStr"/>
    </row>
    <row r="84">
      <c r="A84" s="13" t="inlineStr">
        <is>
          <t>Clean_28.txt</t>
        </is>
      </c>
      <c r="B84" s="14" t="inlineStr">
        <is>
          <t>Clean</t>
        </is>
      </c>
      <c r="C84" s="14" t="inlineStr">
        <is>
          <t>test</t>
        </is>
      </c>
      <c r="D84" s="17" t="n">
        <v>0.55</v>
      </c>
      <c r="E84" s="14" t="n">
        <v>5</v>
      </c>
      <c r="F84" s="17" t="n">
        <v>0.45</v>
      </c>
      <c r="G84" s="25" t="inlineStr">
        <is>
          <t>1.0</t>
        </is>
      </c>
      <c r="H84" s="14" t="n">
        <v>28.7</v>
      </c>
      <c r="I84" s="14" t="b">
        <v>0</v>
      </c>
      <c r="J84" s="14" t="b">
        <v>0</v>
      </c>
      <c r="K84" s="14" t="n">
        <v>0</v>
      </c>
      <c r="L84" s="14" t="n">
        <v>0.06</v>
      </c>
      <c r="M84" s="14" t="inlineStr"/>
    </row>
    <row r="85">
      <c r="A85" s="13" t="inlineStr">
        <is>
          <t>Clean_29.txt</t>
        </is>
      </c>
      <c r="B85" s="14" t="inlineStr">
        <is>
          <t>Clean</t>
        </is>
      </c>
      <c r="C85" s="14" t="inlineStr">
        <is>
          <t>seen (loại)</t>
        </is>
      </c>
      <c r="D85" s="17" t="n">
        <v>0.7</v>
      </c>
      <c r="E85" s="14" t="n">
        <v>5</v>
      </c>
      <c r="F85" s="17" t="n">
        <v>0.5</v>
      </c>
      <c r="G85" s="25" t="inlineStr">
        <is>
          <t>1.0</t>
        </is>
      </c>
      <c r="H85" s="14" t="n">
        <v>22.1</v>
      </c>
      <c r="I85" s="14" t="b">
        <v>1</v>
      </c>
      <c r="J85" s="14" t="b">
        <v>0</v>
      </c>
      <c r="K85" s="14" t="n">
        <v>0</v>
      </c>
      <c r="L85" s="14" t="n">
        <v>-0.12</v>
      </c>
      <c r="M85" s="14" t="inlineStr"/>
    </row>
    <row r="86">
      <c r="A86" s="13" t="inlineStr">
        <is>
          <t>Clean_3.txt</t>
        </is>
      </c>
      <c r="B86" s="14" t="inlineStr">
        <is>
          <t>Clean</t>
        </is>
      </c>
      <c r="C86" s="14" t="inlineStr">
        <is>
          <t>seen (loại)</t>
        </is>
      </c>
      <c r="D86" s="17" t="n">
        <v>0.7</v>
      </c>
      <c r="E86" s="14" t="n">
        <v>4</v>
      </c>
      <c r="F86" s="17" t="n">
        <v>0.4</v>
      </c>
      <c r="G86" s="25" t="inlineStr">
        <is>
          <t>1.0</t>
        </is>
      </c>
      <c r="H86" s="14" t="n">
        <v>30.6</v>
      </c>
      <c r="I86" s="14" t="b">
        <v>1</v>
      </c>
      <c r="J86" s="14" t="b">
        <v>0</v>
      </c>
      <c r="K86" s="14" t="n">
        <v>0</v>
      </c>
      <c r="L86" s="14" t="n">
        <v>-0.12</v>
      </c>
      <c r="M86" s="14" t="inlineStr"/>
    </row>
    <row r="87">
      <c r="A87" s="13" t="inlineStr">
        <is>
          <t>Clean_30.txt</t>
        </is>
      </c>
      <c r="B87" s="14" t="inlineStr">
        <is>
          <t>Clean</t>
        </is>
      </c>
      <c r="C87" s="14" t="inlineStr">
        <is>
          <t>seen (loại)</t>
        </is>
      </c>
      <c r="D87" s="17" t="n">
        <v>0.6</v>
      </c>
      <c r="E87" s="14" t="n">
        <v>5</v>
      </c>
      <c r="F87" s="17" t="n">
        <v>0.5</v>
      </c>
      <c r="G87" s="25" t="inlineStr">
        <is>
          <t>0.9895833333333334</t>
        </is>
      </c>
      <c r="H87" s="14" t="n">
        <v>34.7</v>
      </c>
      <c r="I87" s="14" t="b">
        <v>1</v>
      </c>
      <c r="J87" s="14" t="b">
        <v>0</v>
      </c>
      <c r="K87" s="14" t="n">
        <v>0</v>
      </c>
      <c r="L87" s="14" t="n">
        <v>-0.16</v>
      </c>
      <c r="M87" s="14" t="inlineStr"/>
    </row>
    <row r="88">
      <c r="A88" s="13" t="inlineStr">
        <is>
          <t>Clean_4.txt</t>
        </is>
      </c>
      <c r="B88" s="14" t="inlineStr">
        <is>
          <t>Clean</t>
        </is>
      </c>
      <c r="C88" s="14" t="inlineStr">
        <is>
          <t>dev</t>
        </is>
      </c>
      <c r="D88" s="17" t="n">
        <v>0.65</v>
      </c>
      <c r="E88" s="14" t="n">
        <v>4</v>
      </c>
      <c r="F88" s="17" t="n">
        <v>0.4</v>
      </c>
      <c r="G88" s="25" t="inlineStr">
        <is>
          <t>1.0</t>
        </is>
      </c>
      <c r="H88" s="14" t="n">
        <v>25.6</v>
      </c>
      <c r="I88" s="14" t="b">
        <v>0</v>
      </c>
      <c r="J88" s="14" t="b">
        <v>0</v>
      </c>
      <c r="K88" s="14" t="n">
        <v>0</v>
      </c>
      <c r="L88" s="14" t="n">
        <v>-0.02</v>
      </c>
      <c r="M88" s="14" t="inlineStr"/>
    </row>
    <row r="89">
      <c r="A89" s="13" t="inlineStr">
        <is>
          <t>Clean_5.txt</t>
        </is>
      </c>
      <c r="B89" s="14" t="inlineStr">
        <is>
          <t>Clean</t>
        </is>
      </c>
      <c r="C89" s="14" t="inlineStr">
        <is>
          <t>dev</t>
        </is>
      </c>
      <c r="D89" s="17" t="n">
        <v>0.55</v>
      </c>
      <c r="E89" s="14" t="n">
        <v>6</v>
      </c>
      <c r="F89" s="17" t="n">
        <v>0.6</v>
      </c>
      <c r="G89" s="25" t="inlineStr">
        <is>
          <t>1.0</t>
        </is>
      </c>
      <c r="H89" s="14" t="n">
        <v>29.8</v>
      </c>
      <c r="I89" s="14" t="b">
        <v>0</v>
      </c>
      <c r="J89" s="14" t="b">
        <v>0</v>
      </c>
      <c r="K89" s="14" t="n">
        <v>0</v>
      </c>
      <c r="L89" s="14" t="n">
        <v>0.02</v>
      </c>
      <c r="M89" s="14" t="inlineStr"/>
    </row>
    <row r="90">
      <c r="A90" s="13" t="inlineStr">
        <is>
          <t>Clean_6.txt</t>
        </is>
      </c>
      <c r="B90" s="14" t="inlineStr">
        <is>
          <t>Clean</t>
        </is>
      </c>
      <c r="C90" s="14" t="inlineStr">
        <is>
          <t>seen (loại)</t>
        </is>
      </c>
      <c r="D90" s="17" t="n">
        <v>0.6</v>
      </c>
      <c r="E90" s="14" t="n">
        <v>5</v>
      </c>
      <c r="F90" s="17" t="n">
        <v>0.45</v>
      </c>
      <c r="G90" s="25" t="inlineStr">
        <is>
          <t>1.0</t>
        </is>
      </c>
      <c r="H90" s="14" t="n">
        <v>22.8</v>
      </c>
      <c r="I90" s="14" t="b">
        <v>1</v>
      </c>
      <c r="J90" s="14" t="b">
        <v>0</v>
      </c>
      <c r="K90" s="14" t="n">
        <v>0</v>
      </c>
      <c r="L90" s="14" t="n">
        <v>0.1</v>
      </c>
      <c r="M90" s="14" t="inlineStr"/>
    </row>
    <row r="91">
      <c r="A91" s="13" t="inlineStr">
        <is>
          <t>Clean_7.txt</t>
        </is>
      </c>
      <c r="B91" s="14" t="inlineStr">
        <is>
          <t>Clean</t>
        </is>
      </c>
      <c r="C91" s="14" t="inlineStr">
        <is>
          <t>test</t>
        </is>
      </c>
      <c r="D91" s="17" t="n">
        <v>0.65</v>
      </c>
      <c r="E91" s="14" t="n">
        <v>4</v>
      </c>
      <c r="F91" s="17" t="n">
        <v>0.35</v>
      </c>
      <c r="G91" s="25" t="inlineStr">
        <is>
          <t>1.0</t>
        </is>
      </c>
      <c r="H91" s="14" t="n">
        <v>20.8</v>
      </c>
      <c r="I91" s="14" t="b">
        <v>0</v>
      </c>
      <c r="J91" s="14" t="b">
        <v>0</v>
      </c>
      <c r="K91" s="14" t="n">
        <v>0.5</v>
      </c>
      <c r="L91" s="14" t="n">
        <v>-0.4</v>
      </c>
      <c r="M91" s="14" t="inlineStr">
        <is>
          <t>Lệch ~1 bin</t>
        </is>
      </c>
    </row>
    <row r="92">
      <c r="A92" s="13" t="inlineStr">
        <is>
          <t>Clean_8.txt</t>
        </is>
      </c>
      <c r="B92" s="14" t="inlineStr">
        <is>
          <t>Clean</t>
        </is>
      </c>
      <c r="C92" s="14" t="inlineStr">
        <is>
          <t>seen (loại)</t>
        </is>
      </c>
      <c r="D92" s="17" t="n">
        <v>0.55</v>
      </c>
      <c r="E92" s="14" t="n">
        <v>4</v>
      </c>
      <c r="F92" s="17" t="n">
        <v>0.4</v>
      </c>
      <c r="G92" s="25" t="inlineStr">
        <is>
          <t>1.0</t>
        </is>
      </c>
      <c r="H92" s="14" t="n">
        <v>26.4</v>
      </c>
      <c r="I92" s="14" t="b">
        <v>1</v>
      </c>
      <c r="J92" s="14" t="b">
        <v>0</v>
      </c>
      <c r="K92" s="14" t="n">
        <v>0</v>
      </c>
      <c r="L92" s="14" t="n">
        <v>0.06</v>
      </c>
      <c r="M92" s="14" t="inlineStr"/>
    </row>
    <row r="93">
      <c r="A93" s="13" t="inlineStr">
        <is>
          <t>Clean_9.txt</t>
        </is>
      </c>
      <c r="B93" s="14" t="inlineStr">
        <is>
          <t>Clean</t>
        </is>
      </c>
      <c r="C93" s="14" t="inlineStr">
        <is>
          <t>seen (loại)</t>
        </is>
      </c>
      <c r="D93" s="17" t="n">
        <v>0.5</v>
      </c>
      <c r="E93" s="14" t="n">
        <v>6</v>
      </c>
      <c r="F93" s="17" t="n">
        <v>0.55</v>
      </c>
      <c r="G93" s="25" t="inlineStr">
        <is>
          <t>1.0</t>
        </is>
      </c>
      <c r="H93" s="14" t="n">
        <v>34.7</v>
      </c>
      <c r="I93" s="14" t="b">
        <v>1</v>
      </c>
      <c r="J93" s="14" t="b">
        <v>0</v>
      </c>
      <c r="K93" s="14" t="n">
        <v>0</v>
      </c>
      <c r="L93" s="14" t="n">
        <v>0.12</v>
      </c>
      <c r="M93" s="14" t="inlineStr"/>
    </row>
    <row r="94">
      <c r="A94" s="13" t="inlineStr">
        <is>
          <t>Music_1.txt</t>
        </is>
      </c>
      <c r="B94" s="14" t="inlineStr">
        <is>
          <t>Music</t>
        </is>
      </c>
      <c r="C94" s="14" t="inlineStr">
        <is>
          <t>dev</t>
        </is>
      </c>
      <c r="D94" s="17" t="n">
        <v>0.7</v>
      </c>
      <c r="E94" s="14" t="n">
        <v>4</v>
      </c>
      <c r="F94" s="17" t="n">
        <v>0.4</v>
      </c>
      <c r="G94" s="25" t="inlineStr">
        <is>
          <t>1.0</t>
        </is>
      </c>
      <c r="H94" s="14" t="n">
        <v>10.7</v>
      </c>
      <c r="I94" s="14" t="b">
        <v>0</v>
      </c>
      <c r="J94" s="14" t="b">
        <v>0</v>
      </c>
      <c r="K94" s="14" t="n">
        <v>0</v>
      </c>
      <c r="L94" s="14" t="n">
        <v>-0.08</v>
      </c>
      <c r="M94" s="14" t="inlineStr"/>
    </row>
    <row r="95">
      <c r="A95" s="13" t="inlineStr">
        <is>
          <t>Music_10.txt</t>
        </is>
      </c>
      <c r="B95" s="14" t="inlineStr">
        <is>
          <t>Music</t>
        </is>
      </c>
      <c r="C95" s="14" t="inlineStr">
        <is>
          <t>test</t>
        </is>
      </c>
      <c r="D95" s="17" t="n">
        <v>0.6</v>
      </c>
      <c r="E95" s="14" t="n">
        <v>4</v>
      </c>
      <c r="F95" s="17" t="n">
        <v>0.4</v>
      </c>
      <c r="G95" s="25" t="inlineStr">
        <is>
          <t>1.0</t>
        </is>
      </c>
      <c r="H95" s="14" t="n">
        <v>5.5</v>
      </c>
      <c r="I95" s="14" t="b">
        <v>0</v>
      </c>
      <c r="J95" s="14" t="b">
        <v>0</v>
      </c>
      <c r="K95" s="14" t="n">
        <v>0</v>
      </c>
      <c r="L95" s="14" t="n">
        <v>0.08</v>
      </c>
      <c r="M95" s="14" t="inlineStr"/>
    </row>
    <row r="96">
      <c r="A96" s="13" t="inlineStr">
        <is>
          <t>Music_11.txt</t>
        </is>
      </c>
      <c r="B96" s="14" t="inlineStr">
        <is>
          <t>Music</t>
        </is>
      </c>
      <c r="C96" s="14" t="inlineStr">
        <is>
          <t>test</t>
        </is>
      </c>
      <c r="D96" s="17" t="n">
        <v>0.6</v>
      </c>
      <c r="E96" s="14" t="n">
        <v>4</v>
      </c>
      <c r="F96" s="17" t="n">
        <v>0.4</v>
      </c>
      <c r="G96" s="25" t="inlineStr">
        <is>
          <t>1.0</t>
        </is>
      </c>
      <c r="H96" s="14" t="n">
        <v>7.5</v>
      </c>
      <c r="I96" s="14" t="b">
        <v>0</v>
      </c>
      <c r="J96" s="14" t="b">
        <v>0</v>
      </c>
      <c r="K96" s="14" t="n">
        <v>0</v>
      </c>
      <c r="L96" s="14" t="n">
        <v>0.04</v>
      </c>
      <c r="M96" s="14" t="inlineStr"/>
    </row>
    <row r="97">
      <c r="A97" s="13" t="inlineStr">
        <is>
          <t>Music_12.txt</t>
        </is>
      </c>
      <c r="B97" s="14" t="inlineStr">
        <is>
          <t>Music</t>
        </is>
      </c>
      <c r="C97" s="14" t="inlineStr">
        <is>
          <t>test</t>
        </is>
      </c>
      <c r="D97" s="17" t="n">
        <v>0</v>
      </c>
      <c r="E97" s="14" t="n">
        <v>0</v>
      </c>
      <c r="F97" s="17" t="n">
        <v>0</v>
      </c>
      <c r="G97" s="25" t="inlineStr"/>
      <c r="H97" s="14" t="n">
        <v>5.6</v>
      </c>
      <c r="I97" s="14" t="b">
        <v>0</v>
      </c>
      <c r="J97" s="14" t="b">
        <v>1</v>
      </c>
      <c r="K97" s="14" t="n">
        <v>0</v>
      </c>
      <c r="L97" s="14" t="n"/>
      <c r="M97" s="14" t="n"/>
    </row>
    <row r="98">
      <c r="A98" s="13" t="inlineStr">
        <is>
          <t>Music_13.txt</t>
        </is>
      </c>
      <c r="B98" s="14" t="inlineStr">
        <is>
          <t>Music</t>
        </is>
      </c>
      <c r="C98" s="14" t="inlineStr">
        <is>
          <t>dev</t>
        </is>
      </c>
      <c r="D98" s="17" t="n">
        <v>0.65</v>
      </c>
      <c r="E98" s="14" t="n">
        <v>5</v>
      </c>
      <c r="F98" s="17" t="n">
        <v>0.5</v>
      </c>
      <c r="G98" s="25" t="inlineStr">
        <is>
          <t>0.8681318681318682</t>
        </is>
      </c>
      <c r="H98" s="14" t="n">
        <v>0.7</v>
      </c>
      <c r="I98" s="14" t="b">
        <v>0</v>
      </c>
      <c r="J98" s="14" t="b">
        <v>0</v>
      </c>
      <c r="K98" s="14" t="n">
        <v>0</v>
      </c>
      <c r="L98" s="14" t="n">
        <v>0.22</v>
      </c>
      <c r="M98" s="14" t="inlineStr">
        <is>
          <t>Cần xem</t>
        </is>
      </c>
    </row>
    <row r="99">
      <c r="A99" s="13" t="inlineStr">
        <is>
          <t>Music_14.txt</t>
        </is>
      </c>
      <c r="B99" s="14" t="inlineStr">
        <is>
          <t>Music</t>
        </is>
      </c>
      <c r="C99" s="14" t="inlineStr">
        <is>
          <t>test</t>
        </is>
      </c>
      <c r="D99" s="17" t="n">
        <v>0.5</v>
      </c>
      <c r="E99" s="14" t="n">
        <v>5</v>
      </c>
      <c r="F99" s="17" t="n">
        <v>0.45</v>
      </c>
      <c r="G99" s="25" t="inlineStr">
        <is>
          <t>0.93</t>
        </is>
      </c>
      <c r="H99" s="14" t="n">
        <v>3.4</v>
      </c>
      <c r="I99" s="14" t="b">
        <v>0</v>
      </c>
      <c r="J99" s="14" t="b">
        <v>0</v>
      </c>
      <c r="K99" s="14" t="n">
        <v>0</v>
      </c>
      <c r="L99" s="14" t="n">
        <v>-0.26</v>
      </c>
      <c r="M99" s="14" t="inlineStr">
        <is>
          <t>Cần xem</t>
        </is>
      </c>
    </row>
    <row r="100">
      <c r="A100" s="13" t="inlineStr">
        <is>
          <t>Music_15.txt</t>
        </is>
      </c>
      <c r="B100" s="14" t="inlineStr">
        <is>
          <t>Music</t>
        </is>
      </c>
      <c r="C100" s="14" t="inlineStr">
        <is>
          <t>seen (loại)</t>
        </is>
      </c>
      <c r="D100" s="17" t="n">
        <v>0</v>
      </c>
      <c r="E100" s="14" t="n">
        <v>0</v>
      </c>
      <c r="F100" s="17" t="n">
        <v>0</v>
      </c>
      <c r="G100" s="25" t="inlineStr"/>
      <c r="H100" s="14" t="n">
        <v>8</v>
      </c>
      <c r="I100" s="14" t="b">
        <v>1</v>
      </c>
      <c r="J100" s="14" t="b">
        <v>1</v>
      </c>
      <c r="K100" s="14" t="n">
        <v>0</v>
      </c>
      <c r="L100" s="14" t="n"/>
      <c r="M100" s="14" t="n"/>
    </row>
    <row r="101">
      <c r="A101" s="13" t="inlineStr">
        <is>
          <t>Music_16.txt</t>
        </is>
      </c>
      <c r="B101" s="14" t="inlineStr">
        <is>
          <t>Music</t>
        </is>
      </c>
      <c r="C101" s="14" t="inlineStr">
        <is>
          <t>seen (loại)</t>
        </is>
      </c>
      <c r="D101" s="17" t="n">
        <v>0.7</v>
      </c>
      <c r="E101" s="14" t="n">
        <v>4</v>
      </c>
      <c r="F101" s="17" t="n">
        <v>0.4</v>
      </c>
      <c r="G101" s="25" t="inlineStr">
        <is>
          <t>1.0</t>
        </is>
      </c>
      <c r="H101" s="14" t="n">
        <v>9.199999999999999</v>
      </c>
      <c r="I101" s="14" t="b">
        <v>1</v>
      </c>
      <c r="J101" s="14" t="b">
        <v>0</v>
      </c>
      <c r="K101" s="14" t="n">
        <v>0</v>
      </c>
      <c r="L101" s="14" t="n">
        <v>0.16</v>
      </c>
      <c r="M101" s="14" t="inlineStr"/>
    </row>
    <row r="102">
      <c r="A102" s="13" t="inlineStr">
        <is>
          <t>Music_17.txt</t>
        </is>
      </c>
      <c r="B102" s="14" t="inlineStr">
        <is>
          <t>Music</t>
        </is>
      </c>
      <c r="C102" s="14" t="inlineStr">
        <is>
          <t>seen (loại)</t>
        </is>
      </c>
      <c r="D102" s="17" t="n">
        <v>0.6</v>
      </c>
      <c r="E102" s="14" t="n">
        <v>5</v>
      </c>
      <c r="F102" s="17" t="n">
        <v>0.5</v>
      </c>
      <c r="G102" s="25" t="inlineStr">
        <is>
          <t>1.0</t>
        </is>
      </c>
      <c r="H102" s="14" t="n">
        <v>4.6</v>
      </c>
      <c r="I102" s="14" t="b">
        <v>1</v>
      </c>
      <c r="J102" s="14" t="b">
        <v>0</v>
      </c>
      <c r="K102" s="14" t="n">
        <v>0</v>
      </c>
      <c r="L102" s="14" t="n">
        <v>0.12</v>
      </c>
      <c r="M102" s="14" t="inlineStr"/>
    </row>
    <row r="103">
      <c r="A103" s="13" t="inlineStr">
        <is>
          <t>Music_18.txt</t>
        </is>
      </c>
      <c r="B103" s="14" t="inlineStr">
        <is>
          <t>Music</t>
        </is>
      </c>
      <c r="C103" s="14" t="inlineStr">
        <is>
          <t>test</t>
        </is>
      </c>
      <c r="D103" s="17" t="n">
        <v>0.6</v>
      </c>
      <c r="E103" s="14" t="n">
        <v>4</v>
      </c>
      <c r="F103" s="17" t="n">
        <v>0.4</v>
      </c>
      <c r="G103" s="25" t="inlineStr">
        <is>
          <t>0.96875</t>
        </is>
      </c>
      <c r="H103" s="14" t="n">
        <v>0.7</v>
      </c>
      <c r="I103" s="14" t="b">
        <v>0</v>
      </c>
      <c r="J103" s="14" t="b">
        <v>0</v>
      </c>
      <c r="K103" s="14" t="n">
        <v>0</v>
      </c>
      <c r="L103" s="14" t="n">
        <v>-0.04</v>
      </c>
      <c r="M103" s="14" t="inlineStr"/>
    </row>
    <row r="104">
      <c r="A104" s="13" t="inlineStr">
        <is>
          <t>Music_19.txt</t>
        </is>
      </c>
      <c r="B104" s="14" t="inlineStr">
        <is>
          <t>Music</t>
        </is>
      </c>
      <c r="C104" s="14" t="inlineStr">
        <is>
          <t>dev</t>
        </is>
      </c>
      <c r="D104" s="17" t="n">
        <v>0.4</v>
      </c>
      <c r="E104" s="14" t="n">
        <v>6</v>
      </c>
      <c r="F104" s="17" t="n">
        <v>0.6</v>
      </c>
      <c r="G104" s="25" t="inlineStr">
        <is>
          <t>1.0</t>
        </is>
      </c>
      <c r="H104" s="14" t="n">
        <v>10.9</v>
      </c>
      <c r="I104" s="14" t="b">
        <v>0</v>
      </c>
      <c r="J104" s="14" t="b">
        <v>0</v>
      </c>
      <c r="K104" s="14" t="n">
        <v>0</v>
      </c>
      <c r="L104" s="14" t="n">
        <v>0.04</v>
      </c>
      <c r="M104" s="14" t="inlineStr"/>
    </row>
    <row r="105">
      <c r="A105" s="13" t="inlineStr">
        <is>
          <t>Music_2.txt</t>
        </is>
      </c>
      <c r="B105" s="14" t="inlineStr">
        <is>
          <t>Music</t>
        </is>
      </c>
      <c r="C105" s="14" t="inlineStr">
        <is>
          <t>seen (loại)</t>
        </is>
      </c>
      <c r="D105" s="17" t="n">
        <v>0.5</v>
      </c>
      <c r="E105" s="14" t="n">
        <v>5</v>
      </c>
      <c r="F105" s="17" t="n">
        <v>0.5</v>
      </c>
      <c r="G105" s="25" t="inlineStr">
        <is>
          <t>0.99</t>
        </is>
      </c>
      <c r="H105" s="14" t="n">
        <v>4.8</v>
      </c>
      <c r="I105" s="14" t="b">
        <v>1</v>
      </c>
      <c r="J105" s="14" t="b">
        <v>0</v>
      </c>
      <c r="K105" s="14" t="n">
        <v>0</v>
      </c>
      <c r="L105" s="14" t="n">
        <v>-0.04</v>
      </c>
      <c r="M105" s="14" t="inlineStr"/>
    </row>
    <row r="106">
      <c r="A106" s="13" t="inlineStr">
        <is>
          <t>Music_20.txt</t>
        </is>
      </c>
      <c r="B106" s="14" t="inlineStr">
        <is>
          <t>Music</t>
        </is>
      </c>
      <c r="C106" s="14" t="inlineStr">
        <is>
          <t>test</t>
        </is>
      </c>
      <c r="D106" s="17" t="n">
        <v>0.6</v>
      </c>
      <c r="E106" s="14" t="n">
        <v>4</v>
      </c>
      <c r="F106" s="17" t="n">
        <v>0.4</v>
      </c>
      <c r="G106" s="25" t="inlineStr">
        <is>
          <t>1.0</t>
        </is>
      </c>
      <c r="H106" s="14" t="n">
        <v>7.2</v>
      </c>
      <c r="I106" s="14" t="b">
        <v>0</v>
      </c>
      <c r="J106" s="14" t="b">
        <v>0</v>
      </c>
      <c r="K106" s="14" t="n">
        <v>0</v>
      </c>
      <c r="L106" s="14" t="n">
        <v>0.06</v>
      </c>
      <c r="M106" s="14" t="inlineStr"/>
    </row>
    <row r="107">
      <c r="A107" s="13" t="inlineStr">
        <is>
          <t>Music_21.txt</t>
        </is>
      </c>
      <c r="B107" s="14" t="inlineStr">
        <is>
          <t>Music</t>
        </is>
      </c>
      <c r="C107" s="14" t="inlineStr">
        <is>
          <t>test</t>
        </is>
      </c>
      <c r="D107" s="17" t="n">
        <v>0.5</v>
      </c>
      <c r="E107" s="14" t="n">
        <v>5</v>
      </c>
      <c r="F107" s="17" t="n">
        <v>0.5</v>
      </c>
      <c r="G107" s="25" t="inlineStr">
        <is>
          <t>0.97</t>
        </is>
      </c>
      <c r="H107" s="14" t="n">
        <v>0.7</v>
      </c>
      <c r="I107" s="14" t="b">
        <v>0</v>
      </c>
      <c r="J107" s="14" t="b">
        <v>0</v>
      </c>
      <c r="K107" s="14" t="n">
        <v>0</v>
      </c>
      <c r="L107" s="14" t="n">
        <v>-0.24</v>
      </c>
      <c r="M107" s="14" t="inlineStr">
        <is>
          <t>Cần xem</t>
        </is>
      </c>
    </row>
    <row r="108">
      <c r="A108" s="13" t="inlineStr">
        <is>
          <t>Music_22.txt</t>
        </is>
      </c>
      <c r="B108" s="14" t="inlineStr">
        <is>
          <t>Music</t>
        </is>
      </c>
      <c r="C108" s="14" t="inlineStr">
        <is>
          <t>seen (loại)</t>
        </is>
      </c>
      <c r="D108" s="17" t="n">
        <v>0.65</v>
      </c>
      <c r="E108" s="14" t="n">
        <v>5</v>
      </c>
      <c r="F108" s="17" t="n">
        <v>0.5</v>
      </c>
      <c r="G108" s="25" t="inlineStr">
        <is>
          <t>0.9780219780219781</t>
        </is>
      </c>
      <c r="H108" s="14" t="n">
        <v>13.9</v>
      </c>
      <c r="I108" s="14" t="b">
        <v>1</v>
      </c>
      <c r="J108" s="14" t="b">
        <v>0</v>
      </c>
      <c r="K108" s="14" t="n">
        <v>0</v>
      </c>
      <c r="L108" s="14" t="n">
        <v>0.06</v>
      </c>
      <c r="M108" s="14" t="inlineStr"/>
    </row>
    <row r="109">
      <c r="A109" s="13" t="inlineStr">
        <is>
          <t>Music_23.txt</t>
        </is>
      </c>
      <c r="B109" s="14" t="inlineStr">
        <is>
          <t>Music</t>
        </is>
      </c>
      <c r="C109" s="14" t="inlineStr">
        <is>
          <t>test</t>
        </is>
      </c>
      <c r="D109" s="17" t="n">
        <v>0.45</v>
      </c>
      <c r="E109" s="14" t="n">
        <v>5</v>
      </c>
      <c r="F109" s="17" t="n">
        <v>0.5</v>
      </c>
      <c r="G109" s="25" t="inlineStr">
        <is>
          <t>0.9898989898989898</t>
        </is>
      </c>
      <c r="H109" s="14" t="n">
        <v>9.800000000000001</v>
      </c>
      <c r="I109" s="14" t="b">
        <v>0</v>
      </c>
      <c r="J109" s="14" t="b">
        <v>0</v>
      </c>
      <c r="K109" s="14" t="n">
        <v>0</v>
      </c>
      <c r="L109" s="14" t="n">
        <v>-0.06</v>
      </c>
      <c r="M109" s="14" t="inlineStr"/>
    </row>
    <row r="110">
      <c r="A110" s="13" t="inlineStr">
        <is>
          <t>Music_24.txt</t>
        </is>
      </c>
      <c r="B110" s="14" t="inlineStr">
        <is>
          <t>Music</t>
        </is>
      </c>
      <c r="C110" s="14" t="inlineStr">
        <is>
          <t>seen (loại)</t>
        </is>
      </c>
      <c r="D110" s="17" t="n">
        <v>0.55</v>
      </c>
      <c r="E110" s="14" t="n">
        <v>5</v>
      </c>
      <c r="F110" s="17" t="n">
        <v>0.5</v>
      </c>
      <c r="G110" s="25" t="inlineStr">
        <is>
          <t>1.0</t>
        </is>
      </c>
      <c r="H110" s="14" t="n">
        <v>3.4</v>
      </c>
      <c r="I110" s="14" t="b">
        <v>1</v>
      </c>
      <c r="J110" s="14" t="b">
        <v>0</v>
      </c>
      <c r="K110" s="14" t="n">
        <v>0</v>
      </c>
      <c r="L110" s="14" t="n">
        <v>0.06</v>
      </c>
      <c r="M110" s="14" t="inlineStr"/>
    </row>
    <row r="111">
      <c r="A111" s="13" t="inlineStr">
        <is>
          <t>Music_25.txt</t>
        </is>
      </c>
      <c r="B111" s="14" t="inlineStr">
        <is>
          <t>Music</t>
        </is>
      </c>
      <c r="C111" s="14" t="inlineStr">
        <is>
          <t>seen (loại)</t>
        </is>
      </c>
      <c r="D111" s="17" t="n">
        <v>0.7</v>
      </c>
      <c r="E111" s="14" t="n">
        <v>6</v>
      </c>
      <c r="F111" s="17" t="n">
        <v>0.55</v>
      </c>
      <c r="G111" s="25" t="inlineStr">
        <is>
          <t>1.0</t>
        </is>
      </c>
      <c r="H111" s="14" t="n">
        <v>14.4</v>
      </c>
      <c r="I111" s="14" t="b">
        <v>1</v>
      </c>
      <c r="J111" s="14" t="b">
        <v>0</v>
      </c>
      <c r="K111" s="14" t="n">
        <v>0</v>
      </c>
      <c r="L111" s="14" t="n">
        <v>-0.04</v>
      </c>
      <c r="M111" s="14" t="inlineStr"/>
    </row>
    <row r="112">
      <c r="A112" s="13" t="inlineStr">
        <is>
          <t>Music_26.txt</t>
        </is>
      </c>
      <c r="B112" s="14" t="inlineStr">
        <is>
          <t>Music</t>
        </is>
      </c>
      <c r="C112" s="14" t="inlineStr">
        <is>
          <t>seen (loại)</t>
        </is>
      </c>
      <c r="D112" s="17" t="n">
        <v>0.7</v>
      </c>
      <c r="E112" s="14" t="n">
        <v>6</v>
      </c>
      <c r="F112" s="17" t="n">
        <v>0.55</v>
      </c>
      <c r="G112" s="25" t="inlineStr">
        <is>
          <t>0.9404761904761905</t>
        </is>
      </c>
      <c r="H112" s="14" t="n">
        <v>6.5</v>
      </c>
      <c r="I112" s="14" t="b">
        <v>1</v>
      </c>
      <c r="J112" s="14" t="b">
        <v>0</v>
      </c>
      <c r="K112" s="14" t="n">
        <v>0</v>
      </c>
      <c r="L112" s="14" t="n">
        <v>-0.16</v>
      </c>
      <c r="M112" s="14" t="inlineStr"/>
    </row>
    <row r="113">
      <c r="A113" s="13" t="inlineStr">
        <is>
          <t>Music_27.txt</t>
        </is>
      </c>
      <c r="B113" s="14" t="inlineStr">
        <is>
          <t>Music</t>
        </is>
      </c>
      <c r="C113" s="14" t="inlineStr">
        <is>
          <t>seen (loại)</t>
        </is>
      </c>
      <c r="D113" s="17" t="n">
        <v>0.8</v>
      </c>
      <c r="E113" s="14" t="n">
        <v>4</v>
      </c>
      <c r="F113" s="17" t="n">
        <v>0.4</v>
      </c>
      <c r="G113" s="25" t="inlineStr">
        <is>
          <t>1.0</t>
        </is>
      </c>
      <c r="H113" s="14" t="n">
        <v>12.4</v>
      </c>
      <c r="I113" s="14" t="b">
        <v>1</v>
      </c>
      <c r="J113" s="14" t="b">
        <v>0</v>
      </c>
      <c r="K113" s="14" t="n">
        <v>0</v>
      </c>
      <c r="L113" s="14" t="n">
        <v>0.16</v>
      </c>
      <c r="M113" s="14" t="inlineStr"/>
    </row>
    <row r="114">
      <c r="A114" s="13" t="inlineStr">
        <is>
          <t>Music_28.txt</t>
        </is>
      </c>
      <c r="B114" s="14" t="inlineStr">
        <is>
          <t>Music</t>
        </is>
      </c>
      <c r="C114" s="14" t="inlineStr">
        <is>
          <t>seen (loại)</t>
        </is>
      </c>
      <c r="D114" s="17" t="n">
        <v>0.65</v>
      </c>
      <c r="E114" s="14" t="n">
        <v>6</v>
      </c>
      <c r="F114" s="17" t="n">
        <v>0.55</v>
      </c>
      <c r="G114" s="25" t="inlineStr">
        <is>
          <t>1.0</t>
        </is>
      </c>
      <c r="H114" s="14" t="n">
        <v>0.5</v>
      </c>
      <c r="I114" s="14" t="b">
        <v>1</v>
      </c>
      <c r="J114" s="14" t="b">
        <v>0</v>
      </c>
      <c r="K114" s="14" t="n">
        <v>0</v>
      </c>
      <c r="L114" s="14" t="n">
        <v>0.08</v>
      </c>
      <c r="M114" s="14" t="inlineStr"/>
    </row>
    <row r="115">
      <c r="A115" s="13" t="inlineStr">
        <is>
          <t>Music_29.txt</t>
        </is>
      </c>
      <c r="B115" s="14" t="inlineStr">
        <is>
          <t>Music</t>
        </is>
      </c>
      <c r="C115" s="14" t="inlineStr">
        <is>
          <t>test</t>
        </is>
      </c>
      <c r="D115" s="17" t="n">
        <v>0</v>
      </c>
      <c r="E115" s="14" t="n">
        <v>0</v>
      </c>
      <c r="F115" s="17" t="n">
        <v>0</v>
      </c>
      <c r="G115" s="25" t="inlineStr"/>
      <c r="H115" s="14" t="n">
        <v>6.9</v>
      </c>
      <c r="I115" s="14" t="b">
        <v>0</v>
      </c>
      <c r="J115" s="14" t="b">
        <v>1</v>
      </c>
      <c r="K115" s="14" t="n">
        <v>0</v>
      </c>
      <c r="L115" s="14" t="n"/>
      <c r="M115" s="14" t="n"/>
    </row>
    <row r="116">
      <c r="A116" s="13" t="inlineStr">
        <is>
          <t>Music_3.txt</t>
        </is>
      </c>
      <c r="B116" s="14" t="inlineStr">
        <is>
          <t>Music</t>
        </is>
      </c>
      <c r="C116" s="14" t="inlineStr">
        <is>
          <t>seen (loại)</t>
        </is>
      </c>
      <c r="D116" s="17" t="n">
        <v>0</v>
      </c>
      <c r="E116" s="14" t="n">
        <v>0</v>
      </c>
      <c r="F116" s="17" t="n">
        <v>0</v>
      </c>
      <c r="G116" s="25" t="inlineStr"/>
      <c r="H116" s="14" t="n">
        <v>1.6</v>
      </c>
      <c r="I116" s="14" t="b">
        <v>1</v>
      </c>
      <c r="J116" s="14" t="b">
        <v>1</v>
      </c>
      <c r="K116" s="14" t="n">
        <v>0</v>
      </c>
      <c r="L116" s="14" t="n"/>
      <c r="M116" s="14" t="n"/>
    </row>
    <row r="117">
      <c r="A117" s="13" t="inlineStr">
        <is>
          <t>Music_30.txt</t>
        </is>
      </c>
      <c r="B117" s="14" t="inlineStr">
        <is>
          <t>Music</t>
        </is>
      </c>
      <c r="C117" s="14" t="inlineStr">
        <is>
          <t>test</t>
        </is>
      </c>
      <c r="D117" s="17" t="n">
        <v>0.65</v>
      </c>
      <c r="E117" s="14" t="n">
        <v>5</v>
      </c>
      <c r="F117" s="17" t="n">
        <v>0.5</v>
      </c>
      <c r="G117" s="25" t="inlineStr">
        <is>
          <t>0.989010989010989</t>
        </is>
      </c>
      <c r="H117" s="14" t="n">
        <v>12.2</v>
      </c>
      <c r="I117" s="14" t="b">
        <v>0</v>
      </c>
      <c r="J117" s="14" t="b">
        <v>0</v>
      </c>
      <c r="K117" s="14" t="n">
        <v>0</v>
      </c>
      <c r="L117" s="14" t="n">
        <v>0.1</v>
      </c>
      <c r="M117" s="14" t="inlineStr"/>
    </row>
    <row r="118">
      <c r="A118" s="13" t="inlineStr">
        <is>
          <t>Music_4.txt</t>
        </is>
      </c>
      <c r="B118" s="14" t="inlineStr">
        <is>
          <t>Music</t>
        </is>
      </c>
      <c r="C118" s="14" t="inlineStr">
        <is>
          <t>dev</t>
        </is>
      </c>
      <c r="D118" s="17" t="n">
        <v>0</v>
      </c>
      <c r="E118" s="14" t="n">
        <v>0</v>
      </c>
      <c r="F118" s="17" t="n">
        <v>0</v>
      </c>
      <c r="G118" s="25" t="inlineStr"/>
      <c r="H118" s="14" t="n">
        <v>12.4</v>
      </c>
      <c r="I118" s="14" t="b">
        <v>0</v>
      </c>
      <c r="J118" s="14" t="b">
        <v>1</v>
      </c>
      <c r="K118" s="14" t="n">
        <v>0</v>
      </c>
      <c r="L118" s="14" t="n"/>
      <c r="M118" s="14" t="n"/>
    </row>
    <row r="119">
      <c r="A119" s="13" t="inlineStr">
        <is>
          <t>Music_5.txt</t>
        </is>
      </c>
      <c r="B119" s="14" t="inlineStr">
        <is>
          <t>Music</t>
        </is>
      </c>
      <c r="C119" s="14" t="inlineStr">
        <is>
          <t>test</t>
        </is>
      </c>
      <c r="D119" s="17" t="n">
        <v>0.6</v>
      </c>
      <c r="E119" s="14" t="n">
        <v>5</v>
      </c>
      <c r="F119" s="17" t="n">
        <v>0.45</v>
      </c>
      <c r="G119" s="25" t="inlineStr">
        <is>
          <t>0.9895833333333334</t>
        </is>
      </c>
      <c r="H119" s="14" t="n">
        <v>8.6</v>
      </c>
      <c r="I119" s="14" t="b">
        <v>0</v>
      </c>
      <c r="J119" s="14" t="b">
        <v>0</v>
      </c>
      <c r="K119" s="14" t="n">
        <v>0</v>
      </c>
      <c r="L119" s="14" t="n">
        <v>0.12</v>
      </c>
      <c r="M119" s="14" t="inlineStr"/>
    </row>
    <row r="120">
      <c r="A120" s="13" t="inlineStr">
        <is>
          <t>Music_6.txt</t>
        </is>
      </c>
      <c r="B120" s="14" t="inlineStr">
        <is>
          <t>Music</t>
        </is>
      </c>
      <c r="C120" s="14" t="inlineStr">
        <is>
          <t>seen (loại)</t>
        </is>
      </c>
      <c r="D120" s="17" t="n">
        <v>0.55</v>
      </c>
      <c r="E120" s="14" t="n">
        <v>6</v>
      </c>
      <c r="F120" s="17" t="n">
        <v>0.6</v>
      </c>
      <c r="G120" s="25" t="inlineStr">
        <is>
          <t>1.0</t>
        </is>
      </c>
      <c r="H120" s="14" t="n">
        <v>8.800000000000001</v>
      </c>
      <c r="I120" s="14" t="b">
        <v>1</v>
      </c>
      <c r="J120" s="14" t="b">
        <v>0</v>
      </c>
      <c r="K120" s="14" t="n">
        <v>0</v>
      </c>
      <c r="L120" s="14" t="n">
        <v>0.02</v>
      </c>
      <c r="M120" s="14" t="inlineStr"/>
    </row>
    <row r="121">
      <c r="A121" s="13" t="inlineStr">
        <is>
          <t>Music_7.txt</t>
        </is>
      </c>
      <c r="B121" s="14" t="inlineStr">
        <is>
          <t>Music</t>
        </is>
      </c>
      <c r="C121" s="14" t="inlineStr">
        <is>
          <t>dev</t>
        </is>
      </c>
      <c r="D121" s="17" t="n">
        <v>0.65</v>
      </c>
      <c r="E121" s="14" t="n">
        <v>5</v>
      </c>
      <c r="F121" s="17" t="n">
        <v>0.5</v>
      </c>
      <c r="G121" s="25" t="inlineStr">
        <is>
          <t>1.0</t>
        </is>
      </c>
      <c r="H121" s="14" t="n">
        <v>3</v>
      </c>
      <c r="I121" s="14" t="b">
        <v>0</v>
      </c>
      <c r="J121" s="14" t="b">
        <v>0</v>
      </c>
      <c r="K121" s="14" t="n">
        <v>0</v>
      </c>
      <c r="L121" s="14" t="n">
        <v>-0.04</v>
      </c>
      <c r="M121" s="14" t="inlineStr"/>
    </row>
    <row r="122">
      <c r="A122" s="13" t="inlineStr">
        <is>
          <t>Music_8.txt</t>
        </is>
      </c>
      <c r="B122" s="14" t="inlineStr">
        <is>
          <t>Music</t>
        </is>
      </c>
      <c r="C122" s="14" t="inlineStr">
        <is>
          <t>dev</t>
        </is>
      </c>
      <c r="D122" s="17" t="n">
        <v>0.65</v>
      </c>
      <c r="E122" s="14" t="n">
        <v>4</v>
      </c>
      <c r="F122" s="17" t="n">
        <v>0.4</v>
      </c>
      <c r="G122" s="25" t="inlineStr">
        <is>
          <t>0.9670329670329672</t>
        </is>
      </c>
      <c r="H122" s="14" t="n">
        <v>9.5</v>
      </c>
      <c r="I122" s="14" t="b">
        <v>0</v>
      </c>
      <c r="J122" s="14" t="b">
        <v>0</v>
      </c>
      <c r="K122" s="14" t="n">
        <v>0</v>
      </c>
      <c r="L122" s="14" t="n">
        <v>0.1</v>
      </c>
      <c r="M122" s="14" t="inlineStr"/>
    </row>
    <row r="123">
      <c r="A123" s="13" t="inlineStr">
        <is>
          <t>Music_9.txt</t>
        </is>
      </c>
      <c r="B123" s="14" t="inlineStr">
        <is>
          <t>Music</t>
        </is>
      </c>
      <c r="C123" s="14" t="inlineStr">
        <is>
          <t>seen (loại)</t>
        </is>
      </c>
      <c r="D123" s="17" t="n">
        <v>0.55</v>
      </c>
      <c r="E123" s="14" t="n">
        <v>4</v>
      </c>
      <c r="F123" s="17" t="n">
        <v>0.4</v>
      </c>
      <c r="G123" s="25" t="inlineStr">
        <is>
          <t>1.0</t>
        </is>
      </c>
      <c r="H123" s="14" t="n">
        <v>4.1</v>
      </c>
      <c r="I123" s="14" t="b">
        <v>1</v>
      </c>
      <c r="J123" s="14" t="b">
        <v>0</v>
      </c>
      <c r="K123" s="14" t="n">
        <v>0</v>
      </c>
      <c r="L123" s="14" t="n">
        <v>-0.02</v>
      </c>
      <c r="M123" s="14" t="inlineStr"/>
    </row>
    <row r="124">
      <c r="A124" s="13" t="inlineStr">
        <is>
          <t>Noise_1.txt</t>
        </is>
      </c>
      <c r="B124" s="14" t="inlineStr">
        <is>
          <t>Noise</t>
        </is>
      </c>
      <c r="C124" s="14" t="inlineStr">
        <is>
          <t>test</t>
        </is>
      </c>
      <c r="D124" s="17" t="n">
        <v>0.8</v>
      </c>
      <c r="E124" s="14" t="n">
        <v>5</v>
      </c>
      <c r="F124" s="17" t="n">
        <v>0.45</v>
      </c>
      <c r="G124" s="25" t="inlineStr">
        <is>
          <t>0.875</t>
        </is>
      </c>
      <c r="H124" s="14" t="n">
        <v>-3</v>
      </c>
      <c r="I124" s="14" t="b">
        <v>0</v>
      </c>
      <c r="J124" s="14" t="b">
        <v>0</v>
      </c>
      <c r="K124" s="14" t="n">
        <v>0</v>
      </c>
      <c r="L124" s="14" t="n">
        <v>0.2</v>
      </c>
      <c r="M124" s="14" t="inlineStr"/>
    </row>
    <row r="125">
      <c r="A125" s="13" t="inlineStr">
        <is>
          <t>Noise_10.txt</t>
        </is>
      </c>
      <c r="B125" s="14" t="inlineStr">
        <is>
          <t>Noise</t>
        </is>
      </c>
      <c r="C125" s="14" t="inlineStr">
        <is>
          <t>seen (loại)</t>
        </is>
      </c>
      <c r="D125" s="17" t="n">
        <v>0.5</v>
      </c>
      <c r="E125" s="14" t="n">
        <v>6</v>
      </c>
      <c r="F125" s="17" t="n">
        <v>0.6</v>
      </c>
      <c r="G125" s="25" t="inlineStr">
        <is>
          <t>1.0</t>
        </is>
      </c>
      <c r="H125" s="14" t="n">
        <v>4.8</v>
      </c>
      <c r="I125" s="14" t="b">
        <v>1</v>
      </c>
      <c r="J125" s="14" t="b">
        <v>0</v>
      </c>
      <c r="K125" s="14" t="n">
        <v>0</v>
      </c>
      <c r="L125" s="14" t="n">
        <v>-0.02</v>
      </c>
      <c r="M125" s="14" t="inlineStr"/>
    </row>
    <row r="126">
      <c r="A126" s="13" t="inlineStr">
        <is>
          <t>Noise_11.txt</t>
        </is>
      </c>
      <c r="B126" s="14" t="inlineStr">
        <is>
          <t>Noise</t>
        </is>
      </c>
      <c r="C126" s="14" t="inlineStr">
        <is>
          <t>seen (loại)</t>
        </is>
      </c>
      <c r="D126" s="17" t="n">
        <v>0.55</v>
      </c>
      <c r="E126" s="14" t="n">
        <v>6</v>
      </c>
      <c r="F126" s="17" t="n">
        <v>0.6</v>
      </c>
      <c r="G126" s="25" t="inlineStr">
        <is>
          <t>1.0</t>
        </is>
      </c>
      <c r="H126" s="14" t="n">
        <v>-3.4</v>
      </c>
      <c r="I126" s="14" t="b">
        <v>1</v>
      </c>
      <c r="J126" s="14" t="b">
        <v>0</v>
      </c>
      <c r="K126" s="14" t="n">
        <v>0</v>
      </c>
      <c r="L126" s="14" t="n">
        <v>0.02</v>
      </c>
      <c r="M126" s="14" t="inlineStr"/>
    </row>
    <row r="127">
      <c r="A127" s="13" t="inlineStr">
        <is>
          <t>Noise_12.txt</t>
        </is>
      </c>
      <c r="B127" s="14" t="inlineStr">
        <is>
          <t>Noise</t>
        </is>
      </c>
      <c r="C127" s="14" t="inlineStr">
        <is>
          <t>test</t>
        </is>
      </c>
      <c r="D127" s="17" t="n">
        <v>0.65</v>
      </c>
      <c r="E127" s="14" t="n">
        <v>6</v>
      </c>
      <c r="F127" s="17" t="n">
        <v>0.5</v>
      </c>
      <c r="G127" s="25" t="inlineStr">
        <is>
          <t>1.0</t>
        </is>
      </c>
      <c r="H127" s="14" t="n">
        <v>8.300000000000001</v>
      </c>
      <c r="I127" s="14" t="b">
        <v>0</v>
      </c>
      <c r="J127" s="14" t="b">
        <v>0</v>
      </c>
      <c r="K127" s="14" t="n">
        <v>0.5</v>
      </c>
      <c r="L127" s="14" t="n">
        <v>-0.54</v>
      </c>
      <c r="M127" s="14" t="inlineStr">
        <is>
          <t>Lệch ~1 bin</t>
        </is>
      </c>
    </row>
    <row r="128">
      <c r="A128" s="13" t="inlineStr">
        <is>
          <t>Noise_13.txt</t>
        </is>
      </c>
      <c r="B128" s="14" t="inlineStr">
        <is>
          <t>Noise</t>
        </is>
      </c>
      <c r="C128" s="14" t="inlineStr">
        <is>
          <t>seen (loại)</t>
        </is>
      </c>
      <c r="D128" s="17" t="n">
        <v>0.55</v>
      </c>
      <c r="E128" s="14" t="n">
        <v>4</v>
      </c>
      <c r="F128" s="17" t="n">
        <v>0.4</v>
      </c>
      <c r="G128" s="25" t="inlineStr">
        <is>
          <t>1.0</t>
        </is>
      </c>
      <c r="H128" s="14" t="n">
        <v>5.5</v>
      </c>
      <c r="I128" s="14" t="b">
        <v>1</v>
      </c>
      <c r="J128" s="14" t="b">
        <v>0</v>
      </c>
      <c r="K128" s="14" t="n">
        <v>0</v>
      </c>
      <c r="L128" s="14" t="n">
        <v>-0.1</v>
      </c>
      <c r="M128" s="14" t="inlineStr"/>
    </row>
    <row r="129">
      <c r="A129" s="13" t="inlineStr">
        <is>
          <t>Noise_14.txt</t>
        </is>
      </c>
      <c r="B129" s="14" t="inlineStr">
        <is>
          <t>Noise</t>
        </is>
      </c>
      <c r="C129" s="14" t="inlineStr">
        <is>
          <t>test</t>
        </is>
      </c>
      <c r="D129" s="17" t="n">
        <v>0.75</v>
      </c>
      <c r="E129" s="14" t="n">
        <v>4</v>
      </c>
      <c r="F129" s="17" t="n">
        <v>0.35</v>
      </c>
      <c r="G129" s="25" t="inlineStr">
        <is>
          <t>1.0</t>
        </is>
      </c>
      <c r="H129" s="14" t="n">
        <v>7.6</v>
      </c>
      <c r="I129" s="14" t="b">
        <v>0</v>
      </c>
      <c r="J129" s="14" t="b">
        <v>0</v>
      </c>
      <c r="K129" s="14" t="n">
        <v>0</v>
      </c>
      <c r="L129" s="14" t="n">
        <v>-0.14</v>
      </c>
      <c r="M129" s="14" t="inlineStr"/>
    </row>
    <row r="130">
      <c r="A130" s="13" t="inlineStr">
        <is>
          <t>Noise_15.txt</t>
        </is>
      </c>
      <c r="B130" s="14" t="inlineStr">
        <is>
          <t>Noise</t>
        </is>
      </c>
      <c r="C130" s="14" t="inlineStr">
        <is>
          <t>test</t>
        </is>
      </c>
      <c r="D130" s="17" t="n">
        <v>0.65</v>
      </c>
      <c r="E130" s="14" t="n">
        <v>5</v>
      </c>
      <c r="F130" s="17" t="n">
        <v>0.45</v>
      </c>
      <c r="G130" s="25" t="inlineStr">
        <is>
          <t>1.0</t>
        </is>
      </c>
      <c r="H130" s="14" t="n">
        <v>6.9</v>
      </c>
      <c r="I130" s="14" t="b">
        <v>0</v>
      </c>
      <c r="J130" s="14" t="b">
        <v>0</v>
      </c>
      <c r="K130" s="14" t="n">
        <v>0</v>
      </c>
      <c r="L130" s="14" t="n">
        <v>0.02</v>
      </c>
      <c r="M130" s="14" t="inlineStr"/>
    </row>
    <row r="131">
      <c r="A131" s="13" t="inlineStr">
        <is>
          <t>Noise_16.txt</t>
        </is>
      </c>
      <c r="B131" s="14" t="inlineStr">
        <is>
          <t>Noise</t>
        </is>
      </c>
      <c r="C131" s="14" t="inlineStr">
        <is>
          <t>dev</t>
        </is>
      </c>
      <c r="D131" s="17" t="n">
        <v>1</v>
      </c>
      <c r="E131" s="14" t="n">
        <v>0</v>
      </c>
      <c r="F131" s="17" t="n">
        <v>0</v>
      </c>
      <c r="G131" s="25" t="inlineStr"/>
      <c r="H131" s="14" t="n">
        <v>2.3</v>
      </c>
      <c r="I131" s="14" t="b">
        <v>0</v>
      </c>
      <c r="J131" s="14" t="b">
        <v>1</v>
      </c>
      <c r="K131" s="14" t="n">
        <v>0</v>
      </c>
      <c r="L131" s="14" t="n"/>
      <c r="M131" s="14" t="n"/>
    </row>
    <row r="132">
      <c r="A132" s="13" t="inlineStr">
        <is>
          <t>Noise_17.txt</t>
        </is>
      </c>
      <c r="B132" s="14" t="inlineStr">
        <is>
          <t>Noise</t>
        </is>
      </c>
      <c r="C132" s="14" t="inlineStr">
        <is>
          <t>seen (loại)</t>
        </is>
      </c>
      <c r="D132" s="17" t="n">
        <v>0.5</v>
      </c>
      <c r="E132" s="14" t="n">
        <v>5</v>
      </c>
      <c r="F132" s="17" t="n">
        <v>0.5</v>
      </c>
      <c r="G132" s="25" t="inlineStr">
        <is>
          <t>1.0</t>
        </is>
      </c>
      <c r="H132" s="14" t="n">
        <v>8.9</v>
      </c>
      <c r="I132" s="14" t="b">
        <v>1</v>
      </c>
      <c r="J132" s="14" t="b">
        <v>0</v>
      </c>
      <c r="K132" s="14" t="n">
        <v>0</v>
      </c>
      <c r="L132" s="14" t="n">
        <v>0.06</v>
      </c>
      <c r="M132" s="14" t="inlineStr"/>
    </row>
    <row r="133">
      <c r="A133" s="13" t="inlineStr">
        <is>
          <t>Noise_18.txt</t>
        </is>
      </c>
      <c r="B133" s="14" t="inlineStr">
        <is>
          <t>Noise</t>
        </is>
      </c>
      <c r="C133" s="14" t="inlineStr">
        <is>
          <t>test</t>
        </is>
      </c>
      <c r="D133" s="17" t="n">
        <v>0.6</v>
      </c>
      <c r="E133" s="14" t="n">
        <v>4</v>
      </c>
      <c r="F133" s="17" t="n">
        <v>0.4</v>
      </c>
      <c r="G133" s="25" t="inlineStr">
        <is>
          <t>0.8125</t>
        </is>
      </c>
      <c r="H133" s="14" t="n">
        <v>-4.7</v>
      </c>
      <c r="I133" s="14" t="b">
        <v>0</v>
      </c>
      <c r="J133" s="14" t="b">
        <v>0</v>
      </c>
      <c r="K133" s="14" t="n">
        <v>0</v>
      </c>
      <c r="L133" s="14" t="n">
        <v>0.36</v>
      </c>
      <c r="M133" s="14" t="inlineStr">
        <is>
          <t>Cần xem</t>
        </is>
      </c>
    </row>
    <row r="134">
      <c r="A134" s="13" t="inlineStr">
        <is>
          <t>Noise_19.txt</t>
        </is>
      </c>
      <c r="B134" s="14" t="inlineStr">
        <is>
          <t>Noise</t>
        </is>
      </c>
      <c r="C134" s="14" t="inlineStr">
        <is>
          <t>seen (loại)</t>
        </is>
      </c>
      <c r="D134" s="17" t="n">
        <v>0.55</v>
      </c>
      <c r="E134" s="14" t="n">
        <v>4</v>
      </c>
      <c r="F134" s="17" t="n">
        <v>0.4</v>
      </c>
      <c r="G134" s="25" t="inlineStr">
        <is>
          <t>1.0</t>
        </is>
      </c>
      <c r="H134" s="14" t="n">
        <v>9.5</v>
      </c>
      <c r="I134" s="14" t="b">
        <v>1</v>
      </c>
      <c r="J134" s="14" t="b">
        <v>0</v>
      </c>
      <c r="K134" s="14" t="n">
        <v>0</v>
      </c>
      <c r="L134" s="14" t="n">
        <v>0.06</v>
      </c>
      <c r="M134" s="14" t="inlineStr"/>
    </row>
    <row r="135">
      <c r="A135" s="13" t="inlineStr">
        <is>
          <t>Noise_2.txt</t>
        </is>
      </c>
      <c r="B135" s="14" t="inlineStr">
        <is>
          <t>Noise</t>
        </is>
      </c>
      <c r="C135" s="14" t="inlineStr">
        <is>
          <t>seen (loại)</t>
        </is>
      </c>
      <c r="D135" s="17" t="n">
        <v>0.55</v>
      </c>
      <c r="E135" s="14" t="n">
        <v>7</v>
      </c>
      <c r="F135" s="17" t="n">
        <v>0.7</v>
      </c>
      <c r="G135" s="25" t="inlineStr">
        <is>
          <t>1.0</t>
        </is>
      </c>
      <c r="H135" s="14" t="n">
        <v>9.9</v>
      </c>
      <c r="I135" s="14" t="b">
        <v>1</v>
      </c>
      <c r="J135" s="14" t="b">
        <v>0</v>
      </c>
      <c r="K135" s="14" t="n">
        <v>0</v>
      </c>
      <c r="L135" s="14" t="n">
        <v>-0.04</v>
      </c>
      <c r="M135" s="14" t="inlineStr"/>
    </row>
    <row r="136">
      <c r="A136" s="13" t="inlineStr">
        <is>
          <t>Noise_20.txt</t>
        </is>
      </c>
      <c r="B136" s="14" t="inlineStr">
        <is>
          <t>Noise</t>
        </is>
      </c>
      <c r="C136" s="14" t="inlineStr">
        <is>
          <t>test</t>
        </is>
      </c>
      <c r="D136" s="17" t="n">
        <v>0.55</v>
      </c>
      <c r="E136" s="14" t="n">
        <v>4</v>
      </c>
      <c r="F136" s="17" t="n">
        <v>0.4</v>
      </c>
      <c r="G136" s="25" t="inlineStr">
        <is>
          <t>0.9898989898989898</t>
        </is>
      </c>
      <c r="H136" s="14" t="n">
        <v>4.3</v>
      </c>
      <c r="I136" s="14" t="b">
        <v>0</v>
      </c>
      <c r="J136" s="14" t="b">
        <v>0</v>
      </c>
      <c r="K136" s="14" t="n">
        <v>0</v>
      </c>
      <c r="L136" s="14" t="n">
        <v>0.26</v>
      </c>
      <c r="M136" s="14" t="inlineStr">
        <is>
          <t>Cần xem</t>
        </is>
      </c>
    </row>
    <row r="137">
      <c r="A137" s="13" t="inlineStr">
        <is>
          <t>Noise_21.txt</t>
        </is>
      </c>
      <c r="B137" s="14" t="inlineStr">
        <is>
          <t>Noise</t>
        </is>
      </c>
      <c r="C137" s="14" t="inlineStr">
        <is>
          <t>test</t>
        </is>
      </c>
      <c r="D137" s="17" t="n">
        <v>0.55</v>
      </c>
      <c r="E137" s="14" t="n">
        <v>6</v>
      </c>
      <c r="F137" s="17" t="n">
        <v>0.6</v>
      </c>
      <c r="G137" s="25" t="inlineStr">
        <is>
          <t>1.0</t>
        </is>
      </c>
      <c r="H137" s="14" t="n">
        <v>7.4</v>
      </c>
      <c r="I137" s="14" t="b">
        <v>0</v>
      </c>
      <c r="J137" s="14" t="b">
        <v>0</v>
      </c>
      <c r="K137" s="14" t="n">
        <v>0</v>
      </c>
      <c r="L137" s="14" t="n">
        <v>0.02</v>
      </c>
      <c r="M137" s="14" t="inlineStr"/>
    </row>
    <row r="138">
      <c r="A138" s="13" t="inlineStr">
        <is>
          <t>Noise_22.txt</t>
        </is>
      </c>
      <c r="B138" s="14" t="inlineStr">
        <is>
          <t>Noise</t>
        </is>
      </c>
      <c r="C138" s="14" t="inlineStr">
        <is>
          <t>test</t>
        </is>
      </c>
      <c r="D138" s="17" t="n">
        <v>0.75</v>
      </c>
      <c r="E138" s="14" t="n">
        <v>5</v>
      </c>
      <c r="F138" s="17" t="n">
        <v>0.5</v>
      </c>
      <c r="G138" s="25" t="inlineStr">
        <is>
          <t>0.7733333333333333</t>
        </is>
      </c>
      <c r="H138" s="14" t="n">
        <v>1.5</v>
      </c>
      <c r="I138" s="14" t="b">
        <v>0</v>
      </c>
      <c r="J138" s="14" t="b">
        <v>0</v>
      </c>
      <c r="K138" s="14" t="n">
        <v>0</v>
      </c>
      <c r="L138" s="14" t="n">
        <v>0.14</v>
      </c>
      <c r="M138" s="14" t="inlineStr"/>
    </row>
    <row r="139">
      <c r="A139" s="13" t="inlineStr">
        <is>
          <t>Noise_23.txt</t>
        </is>
      </c>
      <c r="B139" s="14" t="inlineStr">
        <is>
          <t>Noise</t>
        </is>
      </c>
      <c r="C139" s="14" t="inlineStr">
        <is>
          <t>seen (loại)</t>
        </is>
      </c>
      <c r="D139" s="17" t="n">
        <v>0.65</v>
      </c>
      <c r="E139" s="14" t="n">
        <v>6</v>
      </c>
      <c r="F139" s="17" t="n">
        <v>0.5</v>
      </c>
      <c r="G139" s="25" t="inlineStr">
        <is>
          <t>1.0</t>
        </is>
      </c>
      <c r="H139" s="14" t="n">
        <v>-3.6</v>
      </c>
      <c r="I139" s="14" t="b">
        <v>1</v>
      </c>
      <c r="J139" s="14" t="b">
        <v>0</v>
      </c>
      <c r="K139" s="14" t="n">
        <v>0</v>
      </c>
      <c r="L139" s="14" t="n">
        <v>-0.04</v>
      </c>
      <c r="M139" s="14" t="inlineStr"/>
    </row>
    <row r="140">
      <c r="A140" s="13" t="inlineStr">
        <is>
          <t>Noise_24.txt</t>
        </is>
      </c>
      <c r="B140" s="14" t="inlineStr">
        <is>
          <t>Noise</t>
        </is>
      </c>
      <c r="C140" s="14" t="inlineStr">
        <is>
          <t>test</t>
        </is>
      </c>
      <c r="D140" s="17" t="n">
        <v>0.6</v>
      </c>
      <c r="E140" s="14" t="n">
        <v>4</v>
      </c>
      <c r="F140" s="17" t="n">
        <v>0.4</v>
      </c>
      <c r="G140" s="25" t="inlineStr">
        <is>
          <t>0.96875</t>
        </is>
      </c>
      <c r="H140" s="14" t="n">
        <v>5.7</v>
      </c>
      <c r="I140" s="14" t="b">
        <v>0</v>
      </c>
      <c r="J140" s="14" t="b">
        <v>0</v>
      </c>
      <c r="K140" s="14" t="n">
        <v>0</v>
      </c>
      <c r="L140" s="14" t="n">
        <v>0.26</v>
      </c>
      <c r="M140" s="14" t="inlineStr">
        <is>
          <t>Cần xem</t>
        </is>
      </c>
    </row>
    <row r="141">
      <c r="A141" s="13" t="inlineStr">
        <is>
          <t>Noise_25.txt</t>
        </is>
      </c>
      <c r="B141" s="14" t="inlineStr">
        <is>
          <t>Noise</t>
        </is>
      </c>
      <c r="C141" s="14" t="inlineStr">
        <is>
          <t>seen (loại)</t>
        </is>
      </c>
      <c r="D141" s="17" t="n">
        <v>0.7</v>
      </c>
      <c r="E141" s="14" t="n">
        <v>4</v>
      </c>
      <c r="F141" s="17" t="n">
        <v>0.35</v>
      </c>
      <c r="G141" s="25" t="inlineStr">
        <is>
          <t>1.0</t>
        </is>
      </c>
      <c r="H141" s="14" t="n">
        <v>2.7</v>
      </c>
      <c r="I141" s="14" t="b">
        <v>1</v>
      </c>
      <c r="J141" s="14" t="b">
        <v>0</v>
      </c>
      <c r="K141" s="14" t="n">
        <v>0</v>
      </c>
      <c r="L141" s="14" t="n">
        <v>-0.08</v>
      </c>
      <c r="M141" s="14" t="inlineStr"/>
    </row>
    <row r="142">
      <c r="A142" s="13" t="inlineStr">
        <is>
          <t>Noise_26.txt</t>
        </is>
      </c>
      <c r="B142" s="14" t="inlineStr">
        <is>
          <t>Noise</t>
        </is>
      </c>
      <c r="C142" s="14" t="inlineStr">
        <is>
          <t>seen (loại)</t>
        </is>
      </c>
      <c r="D142" s="17" t="n">
        <v>0.85</v>
      </c>
      <c r="E142" s="14" t="n">
        <v>4</v>
      </c>
      <c r="F142" s="17" t="n">
        <v>0.35</v>
      </c>
      <c r="G142" s="25" t="inlineStr">
        <is>
          <t>0.7450980392156863</t>
        </is>
      </c>
      <c r="H142" s="14" t="n">
        <v>-1.7</v>
      </c>
      <c r="I142" s="14" t="b">
        <v>1</v>
      </c>
      <c r="J142" s="14" t="b">
        <v>0</v>
      </c>
      <c r="K142" s="14" t="n">
        <v>0</v>
      </c>
      <c r="L142" s="14" t="n">
        <v>-0.02</v>
      </c>
      <c r="M142" s="14" t="inlineStr"/>
    </row>
    <row r="143">
      <c r="A143" s="13" t="inlineStr">
        <is>
          <t>Noise_27.txt</t>
        </is>
      </c>
      <c r="B143" s="14" t="inlineStr">
        <is>
          <t>Noise</t>
        </is>
      </c>
      <c r="C143" s="14" t="inlineStr">
        <is>
          <t>dev</t>
        </is>
      </c>
      <c r="D143" s="17" t="n">
        <v>0.55</v>
      </c>
      <c r="E143" s="14" t="n">
        <v>5</v>
      </c>
      <c r="F143" s="17" t="n">
        <v>0.45</v>
      </c>
      <c r="G143" s="25" t="inlineStr">
        <is>
          <t>0.9797979797979798</t>
        </is>
      </c>
      <c r="H143" s="14" t="n">
        <v>4.4</v>
      </c>
      <c r="I143" s="14" t="b">
        <v>0</v>
      </c>
      <c r="J143" s="14" t="b">
        <v>0</v>
      </c>
      <c r="K143" s="14" t="n">
        <v>0</v>
      </c>
      <c r="L143" s="14" t="n">
        <v>0.02</v>
      </c>
      <c r="M143" s="14" t="inlineStr"/>
    </row>
    <row r="144">
      <c r="A144" s="13" t="inlineStr">
        <is>
          <t>Noise_28.txt</t>
        </is>
      </c>
      <c r="B144" s="14" t="inlineStr">
        <is>
          <t>Noise</t>
        </is>
      </c>
      <c r="C144" s="14" t="inlineStr">
        <is>
          <t>seen (loại)</t>
        </is>
      </c>
      <c r="D144" s="17" t="n">
        <v>0.55</v>
      </c>
      <c r="E144" s="14" t="n">
        <v>5</v>
      </c>
      <c r="F144" s="17" t="n">
        <v>0.5</v>
      </c>
      <c r="G144" s="25" t="inlineStr">
        <is>
          <t>1.0</t>
        </is>
      </c>
      <c r="H144" s="14" t="n">
        <v>8.699999999999999</v>
      </c>
      <c r="I144" s="14" t="b">
        <v>1</v>
      </c>
      <c r="J144" s="14" t="b">
        <v>0</v>
      </c>
      <c r="K144" s="14" t="n">
        <v>0</v>
      </c>
      <c r="L144" s="14" t="n">
        <v>0.02</v>
      </c>
      <c r="M144" s="14" t="inlineStr"/>
    </row>
    <row r="145">
      <c r="A145" s="13" t="inlineStr">
        <is>
          <t>Noise_29.txt</t>
        </is>
      </c>
      <c r="B145" s="14" t="inlineStr">
        <is>
          <t>Noise</t>
        </is>
      </c>
      <c r="C145" s="14" t="inlineStr">
        <is>
          <t>seen (loại)</t>
        </is>
      </c>
      <c r="D145" s="17" t="n">
        <v>0.65</v>
      </c>
      <c r="E145" s="14" t="n">
        <v>6</v>
      </c>
      <c r="F145" s="17" t="n">
        <v>0.55</v>
      </c>
      <c r="G145" s="25" t="inlineStr">
        <is>
          <t>0.989010989010989</t>
        </is>
      </c>
      <c r="H145" s="14" t="n">
        <v>1.7</v>
      </c>
      <c r="I145" s="14" t="b">
        <v>1</v>
      </c>
      <c r="J145" s="14" t="b">
        <v>0</v>
      </c>
      <c r="K145" s="14" t="n">
        <v>0</v>
      </c>
      <c r="L145" s="14" t="n">
        <v>0.02</v>
      </c>
      <c r="M145" s="14" t="inlineStr"/>
    </row>
    <row r="146">
      <c r="A146" s="13" t="inlineStr">
        <is>
          <t>Noise_3.txt</t>
        </is>
      </c>
      <c r="B146" s="14" t="inlineStr">
        <is>
          <t>Noise</t>
        </is>
      </c>
      <c r="C146" s="14" t="inlineStr">
        <is>
          <t>dev</t>
        </is>
      </c>
      <c r="D146" s="17" t="n">
        <v>0.65</v>
      </c>
      <c r="E146" s="14" t="n">
        <v>7</v>
      </c>
      <c r="F146" s="17" t="n">
        <v>0.6</v>
      </c>
      <c r="G146" s="25" t="inlineStr">
        <is>
          <t>0.6373626373626373</t>
        </is>
      </c>
      <c r="H146" s="14" t="n">
        <v>-4.6</v>
      </c>
      <c r="I146" s="14" t="b">
        <v>0</v>
      </c>
      <c r="J146" s="14" t="b">
        <v>0</v>
      </c>
      <c r="K146" s="14" t="n">
        <v>0</v>
      </c>
      <c r="L146" s="14" t="n">
        <v>0.26</v>
      </c>
      <c r="M146" s="14" t="inlineStr">
        <is>
          <t>Cần xem</t>
        </is>
      </c>
    </row>
    <row r="147">
      <c r="A147" s="13" t="inlineStr">
        <is>
          <t>Noise_30.txt</t>
        </is>
      </c>
      <c r="B147" s="14" t="inlineStr">
        <is>
          <t>Noise</t>
        </is>
      </c>
      <c r="C147" s="14" t="inlineStr">
        <is>
          <t>seen (loại)</t>
        </is>
      </c>
      <c r="D147" s="17" t="n">
        <v>0.55</v>
      </c>
      <c r="E147" s="14" t="n">
        <v>6</v>
      </c>
      <c r="F147" s="17" t="n">
        <v>0.55</v>
      </c>
      <c r="G147" s="25" t="inlineStr">
        <is>
          <t>1.0</t>
        </is>
      </c>
      <c r="H147" s="14" t="n">
        <v>-4.1</v>
      </c>
      <c r="I147" s="14" t="b">
        <v>1</v>
      </c>
      <c r="J147" s="14" t="b">
        <v>0</v>
      </c>
      <c r="K147" s="14" t="n">
        <v>0</v>
      </c>
      <c r="L147" s="14" t="n">
        <v>0.04</v>
      </c>
      <c r="M147" s="14" t="inlineStr"/>
    </row>
    <row r="148">
      <c r="A148" s="13" t="inlineStr">
        <is>
          <t>Noise_4.txt</t>
        </is>
      </c>
      <c r="B148" s="14" t="inlineStr">
        <is>
          <t>Noise</t>
        </is>
      </c>
      <c r="C148" s="14" t="inlineStr">
        <is>
          <t>dev</t>
        </is>
      </c>
      <c r="D148" s="17" t="n">
        <v>0.75</v>
      </c>
      <c r="E148" s="14" t="n">
        <v>4</v>
      </c>
      <c r="F148" s="17" t="n">
        <v>0.4</v>
      </c>
      <c r="G148" s="25" t="inlineStr">
        <is>
          <t>0.9066666666666666</t>
        </is>
      </c>
      <c r="H148" s="14" t="n">
        <v>5.4</v>
      </c>
      <c r="I148" s="14" t="b">
        <v>0</v>
      </c>
      <c r="J148" s="14" t="b">
        <v>0</v>
      </c>
      <c r="K148" s="14" t="n">
        <v>0</v>
      </c>
      <c r="L148" s="14" t="n">
        <v>-0.08</v>
      </c>
      <c r="M148" s="14" t="inlineStr"/>
    </row>
    <row r="149">
      <c r="A149" s="13" t="inlineStr">
        <is>
          <t>Noise_5.txt</t>
        </is>
      </c>
      <c r="B149" s="14" t="inlineStr">
        <is>
          <t>Noise</t>
        </is>
      </c>
      <c r="C149" s="14" t="inlineStr">
        <is>
          <t>seen (loại)</t>
        </is>
      </c>
      <c r="D149" s="17" t="n">
        <v>0.75</v>
      </c>
      <c r="E149" s="14" t="n">
        <v>4</v>
      </c>
      <c r="F149" s="17" t="n">
        <v>0.35</v>
      </c>
      <c r="G149" s="25" t="inlineStr">
        <is>
          <t>1.0</t>
        </is>
      </c>
      <c r="H149" s="14" t="n">
        <v>-4.5</v>
      </c>
      <c r="I149" s="14" t="b">
        <v>1</v>
      </c>
      <c r="J149" s="14" t="b">
        <v>0</v>
      </c>
      <c r="K149" s="14" t="n">
        <v>0</v>
      </c>
      <c r="L149" s="14" t="n">
        <v>0.02</v>
      </c>
      <c r="M149" s="14" t="inlineStr"/>
    </row>
    <row r="150">
      <c r="A150" s="13" t="inlineStr">
        <is>
          <t>Noise_6.txt</t>
        </is>
      </c>
      <c r="B150" s="14" t="inlineStr">
        <is>
          <t>Noise</t>
        </is>
      </c>
      <c r="C150" s="14" t="inlineStr">
        <is>
          <t>seen (loại)</t>
        </is>
      </c>
      <c r="D150" s="17" t="n">
        <v>0.65</v>
      </c>
      <c r="E150" s="14" t="n">
        <v>3</v>
      </c>
      <c r="F150" s="17" t="n">
        <v>0.3</v>
      </c>
      <c r="G150" s="25" t="inlineStr">
        <is>
          <t>1.0</t>
        </is>
      </c>
      <c r="H150" s="14" t="n">
        <v>9.699999999999999</v>
      </c>
      <c r="I150" s="14" t="b">
        <v>1</v>
      </c>
      <c r="J150" s="14" t="b">
        <v>0</v>
      </c>
      <c r="K150" s="14" t="n">
        <v>0</v>
      </c>
      <c r="L150" s="14" t="n">
        <v>-0.16</v>
      </c>
      <c r="M150" s="14" t="inlineStr"/>
    </row>
    <row r="151">
      <c r="A151" s="13" t="inlineStr">
        <is>
          <t>Noise_7.txt</t>
        </is>
      </c>
      <c r="B151" s="14" t="inlineStr">
        <is>
          <t>Noise</t>
        </is>
      </c>
      <c r="C151" s="14" t="inlineStr">
        <is>
          <t>seen (loại)</t>
        </is>
      </c>
      <c r="D151" s="17" t="n">
        <v>0.5</v>
      </c>
      <c r="E151" s="14" t="n">
        <v>5</v>
      </c>
      <c r="F151" s="17" t="n">
        <v>0.45</v>
      </c>
      <c r="G151" s="25" t="inlineStr">
        <is>
          <t>1.0</t>
        </is>
      </c>
      <c r="H151" s="14" t="n">
        <v>-0.3</v>
      </c>
      <c r="I151" s="14" t="b">
        <v>1</v>
      </c>
      <c r="J151" s="14" t="b">
        <v>0</v>
      </c>
      <c r="K151" s="14" t="n">
        <v>0</v>
      </c>
      <c r="L151" s="14" t="n">
        <v>0.04</v>
      </c>
      <c r="M151" s="14" t="inlineStr"/>
    </row>
    <row r="152">
      <c r="A152" s="13" t="inlineStr">
        <is>
          <t>Noise_8.txt</t>
        </is>
      </c>
      <c r="B152" s="14" t="inlineStr">
        <is>
          <t>Noise</t>
        </is>
      </c>
      <c r="C152" s="14" t="inlineStr">
        <is>
          <t>seen (loại)</t>
        </is>
      </c>
      <c r="D152" s="17" t="n">
        <v>0.6</v>
      </c>
      <c r="E152" s="14" t="n">
        <v>4</v>
      </c>
      <c r="F152" s="17" t="n">
        <v>0.4</v>
      </c>
      <c r="G152" s="25" t="inlineStr">
        <is>
          <t>1.0</t>
        </is>
      </c>
      <c r="H152" s="14" t="n">
        <v>9.199999999999999</v>
      </c>
      <c r="I152" s="14" t="b">
        <v>1</v>
      </c>
      <c r="J152" s="14" t="b">
        <v>0</v>
      </c>
      <c r="K152" s="14" t="n">
        <v>0</v>
      </c>
      <c r="L152" s="14" t="n">
        <v>-0.02</v>
      </c>
      <c r="M152" s="14" t="inlineStr"/>
    </row>
    <row r="153">
      <c r="A153" s="13" t="inlineStr">
        <is>
          <t>Noise_9.txt</t>
        </is>
      </c>
      <c r="B153" s="14" t="inlineStr">
        <is>
          <t>Noise</t>
        </is>
      </c>
      <c r="C153" s="14" t="inlineStr">
        <is>
          <t>dev</t>
        </is>
      </c>
      <c r="D153" s="17" t="n">
        <v>0.55</v>
      </c>
      <c r="E153" s="14" t="n">
        <v>3</v>
      </c>
      <c r="F153" s="17" t="n">
        <v>0.3</v>
      </c>
      <c r="G153" s="25" t="inlineStr">
        <is>
          <t>1.0</t>
        </is>
      </c>
      <c r="H153" s="14" t="n">
        <v>9.199999999999999</v>
      </c>
      <c r="I153" s="14" t="b">
        <v>0</v>
      </c>
      <c r="J153" s="14" t="b">
        <v>0</v>
      </c>
      <c r="K153" s="14" t="n">
        <v>0</v>
      </c>
      <c r="L153" s="14" t="n">
        <v>-0.08</v>
      </c>
      <c r="M153" s="14" t="inlineStr"/>
    </row>
  </sheetData>
  <autoFilter ref="A4:M153"/>
  <conditionalFormatting sqref="G5:G153">
    <cfRule type="cellIs" priority="1" operator="lessThan" dxfId="2">
      <formula>0.9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2" customWidth="1" min="4" max="4"/>
    <col width="8" customWidth="1" min="5" max="5"/>
    <col width="10" customWidth="1" min="6" max="6"/>
    <col width="28" customWidth="1" min="7" max="7"/>
  </cols>
  <sheetData>
    <row r="1">
      <c r="A1" s="1" t="inlineStr">
        <is>
          <t>Bin có score tự tin trái GT (ngoài vùng biên) – cần nghe lại</t>
        </is>
      </c>
    </row>
    <row r="2">
      <c r="A2" s="2" t="inlineStr">
        <is>
          <t>Lưu ý: dùng điểm của chính model, chưa phải out-of-fold. Cột 'Kết luận' để bạn điền sau khi nghe.</t>
        </is>
      </c>
    </row>
    <row r="3"/>
    <row r="4">
      <c r="A4" s="12" t="inlineStr">
        <is>
          <t>file</t>
        </is>
      </c>
      <c r="B4" s="12" t="inlineStr">
        <is>
          <t>bin</t>
        </is>
      </c>
      <c r="C4" s="12" t="inlineStr">
        <is>
          <t>t_start</t>
        </is>
      </c>
      <c r="D4" s="12" t="inlineStr">
        <is>
          <t>GT</t>
        </is>
      </c>
      <c r="E4" s="12" t="inlineStr">
        <is>
          <t>score</t>
        </is>
      </c>
      <c r="F4" s="12" t="inlineStr">
        <is>
          <t>category</t>
        </is>
      </c>
      <c r="G4" s="12" t="inlineStr">
        <is>
          <t>Kết luận sau khi nghe</t>
        </is>
      </c>
    </row>
    <row r="5">
      <c r="A5" s="13" t="inlineStr">
        <is>
          <t>Babble_1.txt</t>
        </is>
      </c>
      <c r="B5" s="14" t="n">
        <v>19</v>
      </c>
      <c r="C5" s="14" t="n">
        <v>9.5</v>
      </c>
      <c r="D5" s="14" t="inlineStr">
        <is>
          <t>non-speech</t>
        </is>
      </c>
      <c r="E5" s="14" t="n">
        <v>0.999</v>
      </c>
      <c r="F5" s="14" t="inlineStr">
        <is>
          <t>Babble</t>
        </is>
      </c>
      <c r="G5" s="31" t="inlineStr"/>
    </row>
    <row r="6">
      <c r="A6" s="13" t="inlineStr">
        <is>
          <t>Babble_15.txt</t>
        </is>
      </c>
      <c r="B6" s="14" t="n">
        <v>19</v>
      </c>
      <c r="C6" s="14" t="n">
        <v>9.5</v>
      </c>
      <c r="D6" s="14" t="inlineStr">
        <is>
          <t>non-speech</t>
        </is>
      </c>
      <c r="E6" s="14" t="n">
        <v>0.978</v>
      </c>
      <c r="F6" s="14" t="inlineStr">
        <is>
          <t>Babble</t>
        </is>
      </c>
      <c r="G6" s="31" t="inlineStr"/>
    </row>
    <row r="7">
      <c r="A7" s="13" t="inlineStr">
        <is>
          <t>Noise_3.txt</t>
        </is>
      </c>
      <c r="B7" s="14" t="n">
        <v>19</v>
      </c>
      <c r="C7" s="14" t="n">
        <v>9.5</v>
      </c>
      <c r="D7" s="14" t="inlineStr">
        <is>
          <t>non-speech</t>
        </is>
      </c>
      <c r="E7" s="14" t="n">
        <v>0.91</v>
      </c>
      <c r="F7" s="14" t="inlineStr">
        <is>
          <t>Noise</t>
        </is>
      </c>
      <c r="G7" s="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Biểu đồ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2026-09-27T09:52:08Z</dcterms:created>
  <dcterms:modified xsi:type="dcterms:W3CDTF">2026-09-27T09:52:08Z</dcterms:modified>
</cp:coreProperties>
</file>